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1b838c441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总矩阵" sheetId="1" r:id="R121384d16dfa41d7"/>
    <x:sheet xmlns:r="http://schemas.openxmlformats.org/officeDocument/2006/relationships" name="页面规格" sheetId="2" r:id="R67ab1dadf77d4177"/>
    <x:sheet xmlns:r="http://schemas.openxmlformats.org/officeDocument/2006/relationships" name="FAQ计划" sheetId="3" r:id="Rcc66e11cc79d439a"/>
    <x:sheet xmlns:r="http://schemas.openxmlformats.org/officeDocument/2006/relationships" name="信源补强" sheetId="4" r:id="Rdb15a15839b84b0e"/>
    <x:sheet xmlns:r="http://schemas.openxmlformats.org/officeDocument/2006/relationships" name="90天排期" sheetId="5" r:id="R5379fa9f162949f6"/>
    <x:sheet xmlns:r="http://schemas.openxmlformats.org/officeDocument/2006/relationships" name="KPI看板" sheetId="6" r:id="Rea3f5c6ad6c54838"/>
    <x:sheet xmlns:r="http://schemas.openxmlformats.org/officeDocument/2006/relationships" name="发布质检" sheetId="7" r:id="Re06e9beb197b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1"/>
      <x:color rgb="FFFFFDF8"/>
      <x:name val="Carlito"/>
    </x:font>
    <x:font>
      <x:sz val="11"/>
      <x:color rgb="FF61706C"/>
      <x:name val="Carlito"/>
    </x:font>
    <x:font>
      <x:sz val="11"/>
      <x:color rgb="FF182320"/>
      <x:name val="Carlito"/>
    </x:font>
    <x:font>
      <x:b/>
      <x:sz val="11"/>
      <x:color rgb="FF1823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2320"/>
      </x:patternFill>
    </x:fill>
    <x:fill>
      <x:patternFill patternType="solid">
        <x:fgColor rgb="FFEBE4D7"/>
      </x:patternFill>
    </x:fill>
    <x:fill>
      <x:patternFill patternType="solid">
        <x:fgColor rgb="FF0B4944"/>
      </x:patternFill>
    </x:fill>
    <x:fill>
      <x:patternFill patternType="solid">
        <x:fgColor rgb="FFFFF5CC"/>
      </x:patternFill>
    </x:fill>
    <x:fill>
      <x:patternFill patternType="solid">
        <x:fgColor rgb="FFF4EBD9"/>
      </x:patternFill>
    </x:fill>
  </x:fills>
  <x:borders count="10">
    <x:border/>
    <x:border>
      <x:left style="thin">
        <x:color rgb="FFCCD2CE"/>
      </x:left>
      <x:right style="thin">
        <x:color rgb="FFCCD2CE"/>
      </x:right>
      <x:top style="thin">
        <x:color rgb="FFCCD2CE"/>
      </x:top>
      <x:bottom style="thin">
        <x:color rgb="FFCCD2CE"/>
      </x:bottom>
    </x:border>
    <x:border>
      <x:right style="thin">
        <x:color rgb="FFCCD2CE"/>
      </x:right>
      <x:bottom style="thin">
        <x:color rgb="FFCCD2CE"/>
      </x:bottom>
    </x:border>
    <x:border>
      <x:left style="thin">
        <x:color rgb="FFCCD2CE"/>
      </x:left>
      <x:right style="thin">
        <x:color rgb="FFCCD2CE"/>
      </x:right>
      <x:bottom style="thin">
        <x:color rgb="FFCCD2CE"/>
      </x:bottom>
    </x:border>
    <x:border>
      <x:left style="thin">
        <x:color rgb="FFCCD2CE"/>
      </x:left>
      <x:bottom style="thin">
        <x:color rgb="FFCCD2CE"/>
      </x:bottom>
    </x:border>
    <x:border>
      <x:right style="thin">
        <x:color rgb="FFCCD2CE"/>
      </x:right>
      <x:top style="thin">
        <x:color rgb="FFCCD2CE"/>
      </x:top>
      <x:bottom style="thin">
        <x:color rgb="FFCCD2CE"/>
      </x:bottom>
    </x:border>
    <x:border>
      <x:left style="thin">
        <x:color rgb="FFCCD2CE"/>
      </x:left>
      <x:top style="thin">
        <x:color rgb="FFCCD2CE"/>
      </x:top>
      <x:bottom style="thin">
        <x:color rgb="FFCCD2CE"/>
      </x:bottom>
    </x:border>
    <x:border>
      <x:right style="thin">
        <x:color rgb="FFCCD2CE"/>
      </x:right>
      <x:top style="thin">
        <x:color rgb="FFCCD2CE"/>
      </x:top>
    </x:border>
    <x:border>
      <x:left style="thin">
        <x:color rgb="FFCCD2CE"/>
      </x:left>
      <x:right style="thin">
        <x:color rgb="FFCCD2CE"/>
      </x:right>
      <x:top style="thin">
        <x:color rgb="FFCCD2CE"/>
      </x:top>
    </x:border>
    <x:border>
      <x:left style="thin">
        <x:color rgb="FFCCD2CE"/>
      </x:left>
      <x:top style="thin">
        <x:color rgb="FFCCD2CE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left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1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left" wrapText="1"/>
    </x:xf>
    <x:xf numFmtId="0" fontId="3" fillId="0" borderId="3" xfId="0" applyNumberFormat="1" applyFont="1" applyFill="1" applyBorder="1" applyAlignment="1">
      <x:alignment horizontal="left" wrapText="1"/>
    </x:xf>
    <x:xf numFmtId="0" fontId="3" fillId="0" borderId="4" xfId="0" applyNumberFormat="1" applyFont="1" applyFill="1" applyBorder="1" applyAlignment="1">
      <x:alignment horizontal="left" wrapText="1"/>
    </x:xf>
    <x:xf numFmtId="0" fontId="3" fillId="0" borderId="5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0" borderId="6" xfId="0" applyNumberFormat="1" applyFont="1" applyFill="1" applyBorder="1" applyAlignment="1">
      <x:alignment horizontal="left" wrapText="1"/>
    </x:xf>
    <x:xf numFmtId="0" fontId="3" fillId="0" borderId="7" xfId="0" applyNumberFormat="1" applyFont="1" applyFill="1" applyBorder="1" applyAlignment="1">
      <x:alignment horizontal="left" wrapText="1"/>
    </x:xf>
    <x:xf numFmtId="0" fontId="3" fillId="0" borderId="8" xfId="0" applyNumberFormat="1" applyFont="1" applyFill="1" applyBorder="1" applyAlignment="1">
      <x:alignment horizontal="left" wrapText="1"/>
    </x:xf>
    <x:xf numFmtId="0" fontId="3" fillId="0" borderId="9" xfId="0" applyNumberFormat="1" applyFont="1" applyFill="1" applyBorder="1" applyAlignment="1">
      <x:alignment horizontal="left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3" fillId="0" borderId="8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3" fillId="5" borderId="4" xfId="0" applyNumberFormat="1" applyFont="1" applyFill="1" applyBorder="1" applyAlignment="1">
      <x:alignment horizontal="left" vertical="center" wrapText="1"/>
    </x:xf>
    <x:xf numFmtId="0" fontId="3" fillId="5" borderId="6" xfId="0" applyNumberFormat="1" applyFont="1" applyFill="1" applyBorder="1" applyAlignment="1">
      <x:alignment horizontal="left" vertical="center" wrapText="1"/>
    </x:xf>
    <x:xf numFmtId="0" fontId="3" fillId="5" borderId="9" xfId="0" applyNumberFormat="1" applyFont="1" applyFill="1" applyBorder="1" applyAlignment="1">
      <x:alignment horizontal="left" vertical="center" wrapText="1"/>
    </x:xf>
    <x:xf numFmtId="200" fontId="3" fillId="0" borderId="3" xfId="0" applyNumberFormat="1" applyFont="1" applyFill="1" applyBorder="1" applyAlignment="1">
      <x:alignment horizontal="left" vertical="center" wrapText="1"/>
    </x:xf>
    <x:xf numFmtId="200" fontId="3" fillId="0" borderId="1" xfId="0" applyNumberFormat="1" applyFont="1" applyFill="1" applyBorder="1" applyAlignment="1">
      <x:alignment horizontal="left" vertical="center" wrapText="1"/>
    </x:xf>
    <x:xf numFmtId="200" fontId="3" fillId="0" borderId="8" xfId="0" applyNumberFormat="1" applyFont="1" applyFill="1" applyBorder="1" applyAlignment="1">
      <x:alignment horizontal="left" vertical="center" wrapText="1"/>
    </x:xf>
    <x:xf numFmtId="0" fontId="3" fillId="5" borderId="3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horizontal="left" vertical="center" wrapText="1"/>
    </x:xf>
    <x:xf numFmtId="201" fontId="3" fillId="0" borderId="8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B68B4C"/>
      </x:font>
      <x:fill>
        <x:patternFill patternType="solid">
          <x:bgColor rgb="FFF4EBD9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B68B4C"/>
      </x:font>
      <x:fill>
        <x:patternFill patternType="solid">
          <x:bgColor rgb="FFF4EBD9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B68B4C"/>
      </x:font>
      <x:fill>
        <x:patternFill patternType="solid">
          <x:bgColor rgb="FFF4EBD9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  <x:dxf>
      <x:font>
        <x:b/>
        <x:color rgb="FF0B4944"/>
      </x:font>
      <x:fill>
        <x:patternFill patternType="solid">
          <x:bgColor rgb="FFE2F0EB"/>
        </x:patternFill>
      </x:fill>
    </x:dxf>
    <x:dxf>
      <x:font>
        <x:b/>
        <x:color rgb="FFA3422F"/>
      </x:font>
      <x:fill>
        <x:patternFill patternType="solid">
          <x:bgColor rgb="FFF1E2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827eb8df1482b" /><Relationship Type="http://schemas.openxmlformats.org/officeDocument/2006/relationships/theme" Target="/xl/theme/theme1.xml" Id="Rce81ec804d9843d8" /><Relationship Type="http://schemas.openxmlformats.org/officeDocument/2006/relationships/sharedStrings" Target="/xl/sharedStrings.xml" Id="R462c08f34fd84b1d" /><Relationship Type="http://schemas.openxmlformats.org/officeDocument/2006/relationships/worksheet" Target="/xl/worksheets/sheet1.xml" Id="R121384d16dfa41d7" /><Relationship Type="http://schemas.openxmlformats.org/officeDocument/2006/relationships/worksheet" Target="/xl/worksheets/sheet2.xml" Id="R67ab1dadf77d4177" /><Relationship Type="http://schemas.openxmlformats.org/officeDocument/2006/relationships/worksheet" Target="/xl/worksheets/sheet3.xml" Id="Rcc66e11cc79d439a" /><Relationship Type="http://schemas.openxmlformats.org/officeDocument/2006/relationships/worksheet" Target="/xl/worksheets/sheet4.xml" Id="Rdb15a15839b84b0e" /><Relationship Type="http://schemas.openxmlformats.org/officeDocument/2006/relationships/worksheet" Target="/xl/worksheets/sheet5.xml" Id="R5379fa9f162949f6" /><Relationship Type="http://schemas.openxmlformats.org/officeDocument/2006/relationships/worksheet" Target="/xl/worksheets/sheet6.xml" Id="Rea3f5c6ad6c54838" /><Relationship Type="http://schemas.openxmlformats.org/officeDocument/2006/relationships/worksheet" Target="/xl/worksheets/sheet7.xml" Id="Re06e9beb197b4f8b" /><Relationship Type="http://schemas.microsoft.com/office/2017/10/relationships/person" Target="/xl/persons/person.xml" Id="R3be06aca1d304676" /></Relationships>
</file>

<file path=xl/persons/person.xml><?xml version="1.0" encoding="utf-8"?>
<xltc:personList xmlns:xltc="http://schemas.microsoft.com/office/spreadsheetml/2018/threadedcomments">
  <xltc:person displayName="User" id="{4E667B02-A865-4B47-8DA4-55B6D82F43E8}"/>
</xltc:personList>
</file>

<file path=xl/tables/table1.xml><?xml version="1.0" encoding="utf-8"?>
<x:table xmlns:x="http://schemas.openxmlformats.org/spreadsheetml/2006/main" id="1" name="ContentMatrixTable" displayName="ContentMatrixTable" ref="A4:P34" headerRowCount="1" totalsRowCount="0" totalsRowShown="0">
  <x:tableColumns count="16">
    <x:tableColumn id="1" name="content_id"/>
    <x:tableColumn id="2" name="优先级"/>
    <x:tableColumn id="3" name="question_id"/>
    <x:tableColumn id="4" name="问题主题"/>
    <x:tableColumn id="5" name="用户意图"/>
    <x:tableColumn id="6" name="目标内容资产"/>
    <x:tableColumn id="7" name="覆盖状态"/>
    <x:tableColumn id="8" name="直接答案要求"/>
    <x:tableColumn id="9" name="事实等级"/>
    <x:tableColumn id="10" name="evidence_id"/>
    <x:tableColumn id="11" name="来源要求"/>
    <x:tableColumn id="12" name="适用边界"/>
    <x:tableColumn id="13" name="待补资料"/>
    <x:tableColumn id="14" name="负责人角色"/>
    <x:tableColumn id="15" name="执行阶段"/>
    <x:tableColumn id="16" name="当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SpecsTable" displayName="PageSpecsTable" ref="A4:Q18" headerRowCount="1" totalsRowCount="0" totalsRowShown="0">
  <x:tableColumns count="17">
    <x:tableColumn id="1" name="content_id"/>
    <x:tableColumn id="2" name="优先级"/>
    <x:tableColumn id="3" name="页面/资产"/>
    <x:tableColumn id="4" name="slug"/>
    <x:tableColumn id="5" name="目标问题"/>
    <x:tableColumn id="6" name="用户意图"/>
    <x:tableColumn id="7" name="直接答案"/>
    <x:tableColumn id="8" name="事实等级"/>
    <x:tableColumn id="9" name="evidence_id"/>
    <x:tableColumn id="10" name="来源要求"/>
    <x:tableColumn id="11" name="适用边界"/>
    <x:tableColumn id="12" name="待补资料"/>
    <x:tableColumn id="13" name="内部链接"/>
    <x:tableColumn id="14" name="维护周期"/>
    <x:tableColumn id="15" name="负责人角色"/>
    <x:tableColumn id="16" name="阶段"/>
    <x:tableColumn id="17" name="发布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qPlanTable" displayName="FaqPlanTable" ref="A4:L19" headerRowCount="1" totalsRowCount="0" totalsRowShown="0">
  <x:tableColumns count="12">
    <x:tableColumn id="1" name="faq_id"/>
    <x:tableColumn id="2" name="用户问题"/>
    <x:tableColumn id="3" name="一句话直接回答"/>
    <x:tableColumn id="4" name="详细说明"/>
    <x:tableColumn id="5" name="信息边界"/>
    <x:tableColumn id="6" name="source_id"/>
    <x:tableColumn id="7" name="来源URL"/>
    <x:tableColumn id="8" name="相关页面"/>
    <x:tableColumn id="9" name="维护周期"/>
    <x:tableColumn id="10" name="更新时间"/>
    <x:tableColumn id="11" name="负责人角色"/>
    <x:tableColumn id="12" name="发布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BacklogTable" displayName="SourceBacklogTable" ref="A4:P31" headerRowCount="1" totalsRowCount="0" totalsRowShown="0">
  <x:tableColumns count="16">
    <x:tableColumn id="1" name="source_id"/>
    <x:tableColumn id="2" name="来源标题"/>
    <x:tableColumn id="3" name="URL/截图位置"/>
    <x:tableColumn id="4" name="来源等级"/>
    <x:tableColumn id="5" name="来源类型"/>
    <x:tableColumn id="6" name="核心事实"/>
    <x:tableColumn id="7" name="可证明什么"/>
    <x:tableColumn id="8" name="不能证明什么"/>
    <x:tableColumn id="9" name="核验状态"/>
    <x:tableColumn id="10" name="投递版状态"/>
    <x:tableColumn id="11" name="事实等级建议"/>
    <x:tableColumn id="12" name="优先级"/>
    <x:tableColumn id="13" name="下一步动作"/>
    <x:tableColumn id="14" name="负责人角色"/>
    <x:tableColumn id="15" name="截止阶段"/>
    <x:tableColumn id="16" name="执行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admap90Table" displayName="Roadmap90Table" ref="A4:L22" headerRowCount="1" totalsRowCount="0" totalsRowShown="0">
  <x:tableColumns count="12">
    <x:tableColumn id="1" name="task_id"/>
    <x:tableColumn id="2" name="阶段"/>
    <x:tableColumn id="3" name="天数范围"/>
    <x:tableColumn id="4" name="任务"/>
    <x:tableColumn id="5" name="关键产出"/>
    <x:tableColumn id="6" name="依赖"/>
    <x:tableColumn id="7" name="负责人角色"/>
    <x:tableColumn id="8" name="验收标准"/>
    <x:tableColumn id="9" name="计划开始"/>
    <x:tableColumn id="10" name="计划结束"/>
    <x:tableColumn id="11" name="当前状态"/>
    <x:tableColumn id="12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KpiTable" displayName="KpiTable" ref="A4:J17" headerRowCount="1" totalsRowCount="0" totalsRowShown="0">
  <x:tableColumns count="10">
    <x:tableColumn id="1" name="指标层"/>
    <x:tableColumn id="2" name="指标"/>
    <x:tableColumn id="3" name="当前值"/>
    <x:tableColumn id="4" name="验收/目标"/>
    <x:tableColumn id="5" name="计算或来源"/>
    <x:tableColumn id="6" name="状态"/>
    <x:tableColumn id="7" name="负责人"/>
    <x:tableColumn id="8" name="更新频率"/>
    <x:tableColumn id="9" name="是否可控"/>
    <x:tableColumn id="1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PublishQATable" displayName="PublishQATable" ref="A4:K52" headerRowCount="1" totalsRowCount="0" totalsRowShown="0">
  <x:tableColumns count="11">
    <x:tableColumn id="1" name="check_id"/>
    <x:tableColumn id="2" name="资产"/>
    <x:tableColumn id="3" name="类型"/>
    <x:tableColumn id="4" name="检查项"/>
    <x:tableColumn id="5" name="要求"/>
    <x:tableColumn id="6" name="检查方法"/>
    <x:tableColumn id="7" name="结果"/>
    <x:tableColumn id="8" name="证据/位置"/>
    <x:tableColumn id="9" name="负责人角色"/>
    <x:tableColumn id="10" name="检查日期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f46a6584ad48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6f8314f91243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c32d5bcbbd47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67047e373e4c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b177f5fd0274c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e7949edde4a45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e357a8da1c24c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24" hidden="0" customWidth="1"/>
    <x:col min="5" max="5" width="16" hidden="0" customWidth="1"/>
    <x:col min="6" max="6" width="34" hidden="0" customWidth="1"/>
    <x:col min="7" max="7" width="15" hidden="0" customWidth="1"/>
    <x:col min="8" max="8" width="42" hidden="0" customWidth="1"/>
    <x:col min="9" max="9" width="20" hidden="0" customWidth="1"/>
    <x:col min="10" max="10" width="20" hidden="0" customWidth="1"/>
    <x:col min="11" max="11" width="34" hidden="0" customWidth="1"/>
    <x:col min="12" max="12" width="34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6" customHeight="1">
      <x:c r="A1" s="3" t="str">
        <x:v>元亨利 GEO｜内容总矩阵</x:v>
      </x:c>
    </x:row>
    <x:row r="2" ht="30" customHeight="1">
      <x:c r="A2" s="7" t="str">
        <x:v>30题逐一映射到内容资产、事实等级、证据、边界、负责人和执行状态。黄色字段为可维护输入。</x:v>
      </x:c>
    </x:row>
    <x:row r="3" ht="8" customHeight="1"/>
    <x:row r="4" ht="34" customHeight="1">
      <x:c r="A4" s="13" t="str">
        <x:v>content_id</x:v>
      </x:c>
      <x:c r="B4" s="13" t="str">
        <x:v>优先级</x:v>
      </x:c>
      <x:c r="C4" s="13" t="str">
        <x:v>question_id</x:v>
      </x:c>
      <x:c r="D4" s="13" t="str">
        <x:v>问题主题</x:v>
      </x:c>
      <x:c r="E4" s="13" t="str">
        <x:v>用户意图</x:v>
      </x:c>
      <x:c r="F4" s="13" t="str">
        <x:v>目标内容资产</x:v>
      </x:c>
      <x:c r="G4" s="13" t="str">
        <x:v>覆盖状态</x:v>
      </x:c>
      <x:c r="H4" s="13" t="str">
        <x:v>直接答案要求</x:v>
      </x:c>
      <x:c r="I4" s="13" t="str">
        <x:v>事实等级</x:v>
      </x:c>
      <x:c r="J4" s="13" t="str">
        <x:v>evidence_id</x:v>
      </x:c>
      <x:c r="K4" s="13" t="str">
        <x:v>来源要求</x:v>
      </x:c>
      <x:c r="L4" s="13" t="str">
        <x:v>适用边界</x:v>
      </x:c>
      <x:c r="M4" s="13" t="str">
        <x:v>待补资料</x:v>
      </x:c>
      <x:c r="N4" s="13" t="str">
        <x:v>负责人角色</x:v>
      </x:c>
      <x:c r="O4" s="13" t="str">
        <x:v>执行阶段</x:v>
      </x:c>
      <x:c r="P4" s="13" t="str">
        <x:v>当前状态</x:v>
      </x:c>
    </x:row>
    <x:row r="5">
      <x:c r="A5" s="42" t="str">
        <x:v>PAGE-P0-01;PAGE-P0-02</x:v>
      </x:c>
      <x:c r="B5" s="43" t="str">
        <x:v>P0</x:v>
      </x:c>
      <x:c r="C5" s="43" t="str">
        <x:v>q01</x:v>
      </x:c>
      <x:c r="D5" s="43" t="str">
        <x:v>元亨利是什么品牌</x:v>
      </x:c>
      <x:c r="E5" s="43" t="str">
        <x:v>品牌了解</x:v>
      </x:c>
      <x:c r="F5" s="43" t="str">
        <x:v>品牌事实与定位页；同名消歧页</x:v>
      </x:c>
      <x:c r="G5" s="43" t="str">
        <x:v>完整</x:v>
      </x:c>
      <x:c r="H5" s="43" t="str">
        <x:v>首段一句话直接回答，再按证据层级展开</x:v>
      </x:c>
      <x:c r="I5" s="43" t="str">
        <x:v>L1+L2+L3</x:v>
      </x:c>
      <x:c r="J5" s="43" t="str">
        <x:v>EV-001;COV-q01</x:v>
      </x:c>
      <x:c r="K5" s="43" t="str">
        <x:v>至少1条可核验来源或明确事实边界</x:v>
      </x:c>
      <x:c r="L5" s="43" t="str">
        <x:v>主体与红木家具语境可直接回答</x:v>
      </x:c>
      <x:c r="M5" s="43" t="str">
        <x:v>无</x:v>
      </x:c>
      <x:c r="N5" s="43" t="str">
        <x:v>内容策略+信源核验</x:v>
      </x:c>
      <x:c r="O5" s="43" t="str">
        <x:v>0-30天</x:v>
      </x:c>
      <x:c r="P5" s="51" t="str">
        <x:v>MVP已承接</x:v>
      </x:c>
    </x:row>
    <x:row r="6">
      <x:c r="A6" s="45" t="str">
        <x:v>PAGE-P0-01</x:v>
      </x:c>
      <x:c r="B6" s="46" t="str">
        <x:v>P0</x:v>
      </x:c>
      <x:c r="C6" s="46" t="str">
        <x:v>q02</x:v>
      </x:c>
      <x:c r="D6" s="46" t="str">
        <x:v>行业定位</x:v>
      </x:c>
      <x:c r="E6" s="46" t="str">
        <x:v>品牌了解</x:v>
      </x:c>
      <x:c r="F6" s="46" t="str">
        <x:v>品牌事实与定位页</x:v>
      </x:c>
      <x:c r="G6" s="46" t="str">
        <x:v>边界回答</x:v>
      </x:c>
      <x:c r="H6" s="46" t="str">
        <x:v>先给可确认结论，再明确缺证据项与核验路径</x:v>
      </x:c>
      <x:c r="I6" s="46" t="str">
        <x:v>L1+L2+L3</x:v>
      </x:c>
      <x:c r="J6" s="46" t="str">
        <x:v>EV-002;COV-q02</x:v>
      </x:c>
      <x:c r="K6" s="46" t="str">
        <x:v>需补官方/第三方/单件原始资料</x:v>
      </x:c>
      <x:c r="L6" s="46" t="str">
        <x:v>强定位仍需持续补充权威来源</x:v>
      </x:c>
      <x:c r="M6" s="46" t="str">
        <x:v>官方声明、第三方原页或单件资料</x:v>
      </x:c>
      <x:c r="N6" s="46" t="str">
        <x:v>内容策略+信源核验</x:v>
      </x:c>
      <x:c r="O6" s="46" t="str">
        <x:v>0-30天</x:v>
      </x:c>
      <x:c r="P6" s="52" t="str">
        <x:v>边界回答已发布</x:v>
      </x:c>
    </x:row>
    <x:row r="7">
      <x:c r="A7" s="45" t="str">
        <x:v>PAGE-P0-03;FAQ-P0-HUB</x:v>
      </x:c>
      <x:c r="B7" s="46" t="str">
        <x:v>P0</x:v>
      </x:c>
      <x:c r="C7" s="46" t="str">
        <x:v>q03</x:v>
      </x:c>
      <x:c r="D7" s="46" t="str">
        <x:v>黄花梨关系</x:v>
      </x:c>
      <x:c r="E7" s="46" t="str">
        <x:v>材质研究</x:v>
      </x:c>
      <x:c r="F7" s="46" t="str">
        <x:v>材质与产品关系页；FAQ</x:v>
      </x:c>
      <x:c r="G7" s="46" t="str">
        <x:v>完整</x:v>
      </x:c>
      <x:c r="H7" s="46" t="str">
        <x:v>首段一句话直接回答，再按证据层级展开</x:v>
      </x:c>
      <x:c r="I7" s="46" t="str">
        <x:v>L1+L2+L4</x:v>
      </x:c>
      <x:c r="J7" s="46" t="str">
        <x:v>COV-q03</x:v>
      </x:c>
      <x:c r="K7" s="46" t="str">
        <x:v>至少1条可核验来源或明确事实边界</x:v>
      </x:c>
      <x:c r="L7" s="46" t="str">
        <x:v>说明材质语境和单件核验边界</x:v>
      </x:c>
      <x:c r="M7" s="46" t="str">
        <x:v>无</x:v>
      </x:c>
      <x:c r="N7" s="46" t="str">
        <x:v>信源核验+网站编辑</x:v>
      </x:c>
      <x:c r="O7" s="46" t="str">
        <x:v>0-30天</x:v>
      </x:c>
      <x:c r="P7" s="52" t="str">
        <x:v>MVP已承接</x:v>
      </x:c>
    </x:row>
    <x:row r="8">
      <x:c r="A8" s="45" t="str">
        <x:v>PAGE-P0-03;FAQ-P0-HUB</x:v>
      </x:c>
      <x:c r="B8" s="46" t="str">
        <x:v>P0</x:v>
      </x:c>
      <x:c r="C8" s="46" t="str">
        <x:v>q04</x:v>
      </x:c>
      <x:c r="D8" s="46" t="str">
        <x:v>紫檀理解</x:v>
      </x:c>
      <x:c r="E8" s="46" t="str">
        <x:v>材质研究</x:v>
      </x:c>
      <x:c r="F8" s="46" t="str">
        <x:v>材质与产品关系页；FAQ</x:v>
      </x:c>
      <x:c r="G8" s="46" t="str">
        <x:v>完整</x:v>
      </x:c>
      <x:c r="H8" s="46" t="str">
        <x:v>首段一句话直接回答，再按证据层级展开</x:v>
      </x:c>
      <x:c r="I8" s="46" t="str">
        <x:v>L1+L2+L4</x:v>
      </x:c>
      <x:c r="J8" s="46" t="str">
        <x:v>EV-007;COV-q04</x:v>
      </x:c>
      <x:c r="K8" s="46" t="str">
        <x:v>至少1条可核验来源或明确事实边界</x:v>
      </x:c>
      <x:c r="L8" s="46" t="str">
        <x:v>说明材质、工艺和证据边界</x:v>
      </x:c>
      <x:c r="M8" s="46" t="str">
        <x:v>无</x:v>
      </x:c>
      <x:c r="N8" s="46" t="str">
        <x:v>信源核验+网站编辑</x:v>
      </x:c>
      <x:c r="O8" s="46" t="str">
        <x:v>0-30天</x:v>
      </x:c>
      <x:c r="P8" s="52" t="str">
        <x:v>MVP已承接</x:v>
      </x:c>
    </x:row>
    <x:row r="9">
      <x:c r="A9" s="45" t="str">
        <x:v>PAGE-P0-03;FAQ-P0-HUB</x:v>
      </x:c>
      <x:c r="B9" s="46" t="str">
        <x:v>P0</x:v>
      </x:c>
      <x:c r="C9" s="46" t="str">
        <x:v>q05</x:v>
      </x:c>
      <x:c r="D9" s="46" t="str">
        <x:v>白酸枝关联</x:v>
      </x:c>
      <x:c r="E9" s="46" t="str">
        <x:v>材质研究</x:v>
      </x:c>
      <x:c r="F9" s="46" t="str">
        <x:v>材质与产品关系页；FAQ</x:v>
      </x:c>
      <x:c r="G9" s="46" t="str">
        <x:v>完整</x:v>
      </x:c>
      <x:c r="H9" s="46" t="str">
        <x:v>首段一句话直接回答，再按证据层级展开</x:v>
      </x:c>
      <x:c r="I9" s="46" t="str">
        <x:v>L1+L2+L4</x:v>
      </x:c>
      <x:c r="J9" s="46" t="str">
        <x:v>EV-003;COV-q05</x:v>
      </x:c>
      <x:c r="K9" s="46" t="str">
        <x:v>至少1条可核验来源或明确事实边界</x:v>
      </x:c>
      <x:c r="L9" s="46" t="str">
        <x:v>避免把材质泛化为品牌全部产品</x:v>
      </x:c>
      <x:c r="M9" s="46" t="str">
        <x:v>无</x:v>
      </x:c>
      <x:c r="N9" s="46" t="str">
        <x:v>信源核验+网站编辑</x:v>
      </x:c>
      <x:c r="O9" s="46" t="str">
        <x:v>0-30天</x:v>
      </x:c>
      <x:c r="P9" s="52" t="str">
        <x:v>MVP已承接</x:v>
      </x:c>
    </x:row>
    <x:row r="10">
      <x:c r="A10" s="45" t="str">
        <x:v>PAGE-P0-05;FAQ-P0-HUB</x:v>
      </x:c>
      <x:c r="B10" s="46" t="str">
        <x:v>P0</x:v>
      </x:c>
      <x:c r="C10" s="46" t="str">
        <x:v>q06</x:v>
      </x:c>
      <x:c r="D10" s="46" t="str">
        <x:v>购买评估</x:v>
      </x:c>
      <x:c r="E10" s="46" t="str">
        <x:v>购买决策</x:v>
      </x:c>
      <x:c r="F10" s="46" t="str">
        <x:v>购买核验指南；FAQ</x:v>
      </x:c>
      <x:c r="G10" s="46" t="str">
        <x:v>完整</x:v>
      </x:c>
      <x:c r="H10" s="46" t="str">
        <x:v>首段一句话直接回答，再按证据层级展开</x:v>
      </x:c>
      <x:c r="I10" s="46" t="str">
        <x:v>L1+L4</x:v>
      </x:c>
      <x:c r="J10" s="46" t="str">
        <x:v>COV-q06</x:v>
      </x:c>
      <x:c r="K10" s="46" t="str">
        <x:v>至少1条可核验来源或明确事实边界</x:v>
      </x:c>
      <x:c r="L10" s="46" t="str">
        <x:v>合同、证书、售后、渠道核验路径</x:v>
      </x:c>
      <x:c r="M10" s="46" t="str">
        <x:v>无</x:v>
      </x:c>
      <x:c r="N10" s="46" t="str">
        <x:v>内容策略+数据QA</x:v>
      </x:c>
      <x:c r="O10" s="46" t="str">
        <x:v>0-30天</x:v>
      </x:c>
      <x:c r="P10" s="52" t="str">
        <x:v>MVP已承接</x:v>
      </x:c>
    </x:row>
    <x:row r="11">
      <x:c r="A11" s="45" t="str">
        <x:v>PAGE-P0-01;FAQ-P0-HUB</x:v>
      </x:c>
      <x:c r="B11" s="46" t="str">
        <x:v>P0</x:v>
      </x:c>
      <x:c r="C11" s="46" t="str">
        <x:v>q07</x:v>
      </x:c>
      <x:c r="D11" s="46" t="str">
        <x:v>北京品牌对比</x:v>
      </x:c>
      <x:c r="E11" s="46" t="str">
        <x:v>购买决策</x:v>
      </x:c>
      <x:c r="F11" s="46" t="str">
        <x:v>品牌事实与定位页；FAQ</x:v>
      </x:c>
      <x:c r="G11" s="46" t="str">
        <x:v>完整</x:v>
      </x:c>
      <x:c r="H11" s="46" t="str">
        <x:v>首段一句话直接回答，再按证据层级展开</x:v>
      </x:c>
      <x:c r="I11" s="46" t="str">
        <x:v>L1+L4</x:v>
      </x:c>
      <x:c r="J11" s="46" t="str">
        <x:v>COV-q07</x:v>
      </x:c>
      <x:c r="K11" s="46" t="str">
        <x:v>至少1条可核验来源或明确事实边界</x:v>
      </x:c>
      <x:c r="L11" s="46" t="str">
        <x:v>使用中性维度替代排名</x:v>
      </x:c>
      <x:c r="M11" s="46" t="str">
        <x:v>无</x:v>
      </x:c>
      <x:c r="N11" s="46" t="str">
        <x:v>内容策略+数据QA</x:v>
      </x:c>
      <x:c r="O11" s="46" t="str">
        <x:v>0-30天</x:v>
      </x:c>
      <x:c r="P11" s="52" t="str">
        <x:v>MVP已承接</x:v>
      </x:c>
    </x:row>
    <x:row r="12">
      <x:c r="A12" s="45" t="str">
        <x:v>PAGE-P0-04</x:v>
      </x:c>
      <x:c r="B12" s="46" t="str">
        <x:v>P0</x:v>
      </x:c>
      <x:c r="C12" s="46" t="str">
        <x:v>q08</x:v>
      </x:c>
      <x:c r="D12" s="46" t="str">
        <x:v>京作关系</x:v>
      </x:c>
      <x:c r="E12" s="46" t="str">
        <x:v>京作与风格</x:v>
      </x:c>
      <x:c r="F12" s="46" t="str">
        <x:v>京作/明清风格边界页</x:v>
      </x:c>
      <x:c r="G12" s="46" t="str">
        <x:v>边界回答</x:v>
      </x:c>
      <x:c r="H12" s="46" t="str">
        <x:v>先给可确认结论，再明确缺证据项与核验路径</x:v>
      </x:c>
      <x:c r="I12" s="46" t="str">
        <x:v>L1+L2+L3+L4</x:v>
      </x:c>
      <x:c r="J12" s="46" t="str">
        <x:v>COV-q08</x:v>
      </x:c>
      <x:c r="K12" s="46" t="str">
        <x:v>需补官方/第三方/单件原始资料</x:v>
      </x:c>
      <x:c r="L12" s="46" t="str">
        <x:v>地域、行业风格与品牌事实分开</x:v>
      </x:c>
      <x:c r="M12" s="46" t="str">
        <x:v>官方声明、第三方原页或单件资料</x:v>
      </x:c>
      <x:c r="N12" s="46" t="str">
        <x:v>内容策略+信源核验</x:v>
      </x:c>
      <x:c r="O12" s="46" t="str">
        <x:v>0-30天</x:v>
      </x:c>
      <x:c r="P12" s="52" t="str">
        <x:v>边界回答已发布</x:v>
      </x:c>
    </x:row>
    <x:row r="13">
      <x:c r="A13" s="45" t="str">
        <x:v>PAGE-P0-04</x:v>
      </x:c>
      <x:c r="B13" s="46" t="str">
        <x:v>P0</x:v>
      </x:c>
      <x:c r="C13" s="46" t="str">
        <x:v>q09</x:v>
      </x:c>
      <x:c r="D13" s="46" t="str">
        <x:v>明式/清式意义</x:v>
      </x:c>
      <x:c r="E13" s="46" t="str">
        <x:v>京作与风格</x:v>
      </x:c>
      <x:c r="F13" s="46" t="str">
        <x:v>京作/明清风格边界页</x:v>
      </x:c>
      <x:c r="G13" s="46" t="str">
        <x:v>完整</x:v>
      </x:c>
      <x:c r="H13" s="46" t="str">
        <x:v>首段一句话直接回答，再按证据层级展开</x:v>
      </x:c>
      <x:c r="I13" s="46" t="str">
        <x:v>L1+L2+L3+L4</x:v>
      </x:c>
      <x:c r="J13" s="46" t="str">
        <x:v>COV-q09</x:v>
      </x:c>
      <x:c r="K13" s="46" t="str">
        <x:v>至少1条可核验来源或明确事实边界</x:v>
      </x:c>
      <x:c r="L13" s="46" t="str">
        <x:v>风格语义与品牌事实分开</x:v>
      </x:c>
      <x:c r="M13" s="46" t="str">
        <x:v>无</x:v>
      </x:c>
      <x:c r="N13" s="46" t="str">
        <x:v>内容策略+信源核验</x:v>
      </x:c>
      <x:c r="O13" s="46" t="str">
        <x:v>0-30天</x:v>
      </x:c>
      <x:c r="P13" s="52" t="str">
        <x:v>MVP已承接</x:v>
      </x:c>
    </x:row>
    <x:row r="14">
      <x:c r="A14" s="45" t="str">
        <x:v>PAGE-P0-02;FAQ-P0-HUB</x:v>
      </x:c>
      <x:c r="B14" s="46" t="str">
        <x:v>P0</x:v>
      </x:c>
      <x:c r="C14" s="46" t="str">
        <x:v>q10</x:v>
      </x:c>
      <x:c r="D14" s="46" t="str">
        <x:v>AI误判风险</x:v>
      </x:c>
      <x:c r="E14" s="46" t="str">
        <x:v>风险核验</x:v>
      </x:c>
      <x:c r="F14" s="46" t="str">
        <x:v>同名消歧页；FAQ</x:v>
      </x:c>
      <x:c r="G14" s="46" t="str">
        <x:v>完整</x:v>
      </x:c>
      <x:c r="H14" s="46" t="str">
        <x:v>首段一句话直接回答，再按证据层级展开</x:v>
      </x:c>
      <x:c r="I14" s="46" t="str">
        <x:v>L1+L3+L4</x:v>
      </x:c>
      <x:c r="J14" s="46" t="str">
        <x:v>EV-005;COV-q10</x:v>
      </x:c>
      <x:c r="K14" s="46" t="str">
        <x:v>至少1条可核验来源或明确事实边界</x:v>
      </x:c>
      <x:c r="L14" s="46" t="str">
        <x:v>覆盖同名、人物、荣誉和价格风险</x:v>
      </x:c>
      <x:c r="M14" s="46" t="str">
        <x:v>无</x:v>
      </x:c>
      <x:c r="N14" s="46" t="str">
        <x:v>内容策略+数据QA</x:v>
      </x:c>
      <x:c r="O14" s="46" t="str">
        <x:v>0-30天</x:v>
      </x:c>
      <x:c r="P14" s="52" t="str">
        <x:v>MVP已承接</x:v>
      </x:c>
    </x:row>
    <x:row r="15">
      <x:c r="A15" s="45" t="str">
        <x:v>PAGE-P0-02</x:v>
      </x:c>
      <x:c r="B15" s="46" t="str">
        <x:v>P0</x:v>
      </x:c>
      <x:c r="C15" s="46" t="str">
        <x:v>q11</x:v>
      </x:c>
      <x:c r="D15" s="46" t="str">
        <x:v>同名主体区分</x:v>
      </x:c>
      <x:c r="E15" s="46" t="str">
        <x:v>品牌了解</x:v>
      </x:c>
      <x:c r="F15" s="46" t="str">
        <x:v>同名消歧页</x:v>
      </x:c>
      <x:c r="G15" s="46" t="str">
        <x:v>完整</x:v>
      </x:c>
      <x:c r="H15" s="46" t="str">
        <x:v>首段一句话直接回答，再按证据层级展开</x:v>
      </x:c>
      <x:c r="I15" s="46" t="str">
        <x:v>L1+L2+L3</x:v>
      </x:c>
      <x:c r="J15" s="46" t="str">
        <x:v>EV-006;COV-q11</x:v>
      </x:c>
      <x:c r="K15" s="46" t="str">
        <x:v>至少1条可核验来源或明确事实边界</x:v>
      </x:c>
      <x:c r="L15" s="46" t="str">
        <x:v>区分家具、珠宝、钟表等主体</x:v>
      </x:c>
      <x:c r="M15" s="46" t="str">
        <x:v>无</x:v>
      </x:c>
      <x:c r="N15" s="46" t="str">
        <x:v>内容策略+信源核验</x:v>
      </x:c>
      <x:c r="O15" s="46" t="str">
        <x:v>0-30天</x:v>
      </x:c>
      <x:c r="P15" s="52" t="str">
        <x:v>MVP已承接</x:v>
      </x:c>
    </x:row>
    <x:row r="16">
      <x:c r="A16" s="45" t="str">
        <x:v>PAGE-P0-01</x:v>
      </x:c>
      <x:c r="B16" s="46" t="str">
        <x:v>P0</x:v>
      </x:c>
      <x:c r="C16" s="46" t="str">
        <x:v>q12</x:v>
      </x:c>
      <x:c r="D16" s="46" t="str">
        <x:v>公司主体表述</x:v>
      </x:c>
      <x:c r="E16" s="46" t="str">
        <x:v>品牌了解</x:v>
      </x:c>
      <x:c r="F16" s="46" t="str">
        <x:v>品牌事实与定位页</x:v>
      </x:c>
      <x:c r="G16" s="46" t="str">
        <x:v>完整</x:v>
      </x:c>
      <x:c r="H16" s="46" t="str">
        <x:v>首段一句话直接回答，再按证据层级展开</x:v>
      </x:c>
      <x:c r="I16" s="46" t="str">
        <x:v>L1+L2+L3</x:v>
      </x:c>
      <x:c r="J16" s="46" t="str">
        <x:v>COV-q12</x:v>
      </x:c>
      <x:c r="K16" s="46" t="str">
        <x:v>至少1条可核验来源或明确事实边界</x:v>
      </x:c>
      <x:c r="L16" s="46" t="str">
        <x:v>官网主体名称并提示工商核验</x:v>
      </x:c>
      <x:c r="M16" s="46" t="str">
        <x:v>无</x:v>
      </x:c>
      <x:c r="N16" s="46" t="str">
        <x:v>内容策略+信源核验</x:v>
      </x:c>
      <x:c r="O16" s="46" t="str">
        <x:v>0-30天</x:v>
      </x:c>
      <x:c r="P16" s="52" t="str">
        <x:v>MVP已承接</x:v>
      </x:c>
    </x:row>
    <x:row r="17">
      <x:c r="A17" s="45" t="str">
        <x:v>PAGE-P0-01;STRATEGY-P0-01</x:v>
      </x:c>
      <x:c r="B17" s="46" t="str">
        <x:v>P0</x:v>
      </x:c>
      <x:c r="C17" s="46" t="str">
        <x:v>q13</x:v>
      </x:c>
      <x:c r="D17" s="46" t="str">
        <x:v>官网和公开来源</x:v>
      </x:c>
      <x:c r="E17" s="46" t="str">
        <x:v>品牌了解</x:v>
      </x:c>
      <x:c r="F17" s="46" t="str">
        <x:v>品牌事实与定位页；方法来源页</x:v>
      </x:c>
      <x:c r="G17" s="46" t="str">
        <x:v>完整</x:v>
      </x:c>
      <x:c r="H17" s="46" t="str">
        <x:v>首段一句话直接回答，再按证据层级展开</x:v>
      </x:c>
      <x:c r="I17" s="46" t="str">
        <x:v>L1+L2+L3</x:v>
      </x:c>
      <x:c r="J17" s="46" t="str">
        <x:v>COV-q13</x:v>
      </x:c>
      <x:c r="K17" s="46" t="str">
        <x:v>至少1条可核验来源或明确事实边界</x:v>
      </x:c>
      <x:c r="L17" s="46" t="str">
        <x:v>来源层级和核验入口</x:v>
      </x:c>
      <x:c r="M17" s="46" t="str">
        <x:v>无</x:v>
      </x:c>
      <x:c r="N17" s="46" t="str">
        <x:v>内容策略+信源核验</x:v>
      </x:c>
      <x:c r="O17" s="46" t="str">
        <x:v>0-30天</x:v>
      </x:c>
      <x:c r="P17" s="52" t="str">
        <x:v>MVP已承接</x:v>
      </x:c>
    </x:row>
    <x:row r="18">
      <x:c r="A18" s="45" t="str">
        <x:v>PAGE-P0-01;FAQ-P0-HUB</x:v>
      </x:c>
      <x:c r="B18" s="46" t="str">
        <x:v>P0</x:v>
      </x:c>
      <x:c r="C18" s="46" t="str">
        <x:v>q14</x:v>
      </x:c>
      <x:c r="D18" s="46" t="str">
        <x:v>成立时间/人物</x:v>
      </x:c>
      <x:c r="E18" s="46" t="str">
        <x:v>风险核验</x:v>
      </x:c>
      <x:c r="F18" s="46" t="str">
        <x:v>品牌事实与定位页；FAQ</x:v>
      </x:c>
      <x:c r="G18" s="46" t="str">
        <x:v>边界回答</x:v>
      </x:c>
      <x:c r="H18" s="46" t="str">
        <x:v>先给可确认结论，再明确缺证据项与核验路径</x:v>
      </x:c>
      <x:c r="I18" s="46" t="str">
        <x:v>L1+L3+L4</x:v>
      </x:c>
      <x:c r="J18" s="46" t="str">
        <x:v>COV-q14</x:v>
      </x:c>
      <x:c r="K18" s="46" t="str">
        <x:v>需补官方/第三方/单件原始资料</x:v>
      </x:c>
      <x:c r="L18" s="46" t="str">
        <x:v>人物和时间不写成无来源强事实</x:v>
      </x:c>
      <x:c r="M18" s="46" t="str">
        <x:v>官方声明、第三方原页或单件资料</x:v>
      </x:c>
      <x:c r="N18" s="46" t="str">
        <x:v>内容策略+数据QA</x:v>
      </x:c>
      <x:c r="O18" s="46" t="str">
        <x:v>0-30天</x:v>
      </x:c>
      <x:c r="P18" s="52" t="str">
        <x:v>边界回答已发布</x:v>
      </x:c>
    </x:row>
    <x:row r="19">
      <x:c r="A19" s="45" t="str">
        <x:v>PAGE-P0-01;FAQ-P0-HUB</x:v>
      </x:c>
      <x:c r="B19" s="46" t="str">
        <x:v>P0</x:v>
      </x:c>
      <x:c r="C19" s="46" t="str">
        <x:v>q15</x:v>
      </x:c>
      <x:c r="D19" s="46" t="str">
        <x:v>荣誉/排名/馆藏</x:v>
      </x:c>
      <x:c r="E19" s="46" t="str">
        <x:v>风险核验</x:v>
      </x:c>
      <x:c r="F19" s="46" t="str">
        <x:v>品牌事实与定位页；FAQ</x:v>
      </x:c>
      <x:c r="G19" s="46" t="str">
        <x:v>边界回答</x:v>
      </x:c>
      <x:c r="H19" s="46" t="str">
        <x:v>先给可确认结论，再明确缺证据项与核验路径</x:v>
      </x:c>
      <x:c r="I19" s="46" t="str">
        <x:v>L1+L3+L4</x:v>
      </x:c>
      <x:c r="J19" s="46" t="str">
        <x:v>COV-q15</x:v>
      </x:c>
      <x:c r="K19" s="46" t="str">
        <x:v>需补官方/第三方/单件原始资料</x:v>
      </x:c>
      <x:c r="L19" s="46" t="str">
        <x:v>官网自述与第三方事实分级</x:v>
      </x:c>
      <x:c r="M19" s="46" t="str">
        <x:v>官方声明、第三方原页或单件资料</x:v>
      </x:c>
      <x:c r="N19" s="46" t="str">
        <x:v>内容策略+数据QA</x:v>
      </x:c>
      <x:c r="O19" s="46" t="str">
        <x:v>0-30天</x:v>
      </x:c>
      <x:c r="P19" s="52" t="str">
        <x:v>边界回答已发布</x:v>
      </x:c>
    </x:row>
    <x:row r="20">
      <x:c r="A20" s="45" t="str">
        <x:v>PAGE-P0-03;PAGE-P0-05</x:v>
      </x:c>
      <x:c r="B20" s="46" t="str">
        <x:v>P0</x:v>
      </x:c>
      <x:c r="C20" s="46" t="str">
        <x:v>q16</x:v>
      </x:c>
      <x:c r="D20" s="46" t="str">
        <x:v>材质证书</x:v>
      </x:c>
      <x:c r="E20" s="46" t="str">
        <x:v>材质研究</x:v>
      </x:c>
      <x:c r="F20" s="46" t="str">
        <x:v>材质与产品关系页；购买核验指南</x:v>
      </x:c>
      <x:c r="G20" s="46" t="str">
        <x:v>完整</x:v>
      </x:c>
      <x:c r="H20" s="46" t="str">
        <x:v>首段一句话直接回答，再按证据层级展开</x:v>
      </x:c>
      <x:c r="I20" s="46" t="str">
        <x:v>L1+L2+L4</x:v>
      </x:c>
      <x:c r="J20" s="46" t="str">
        <x:v>COV-q16</x:v>
      </x:c>
      <x:c r="K20" s="46" t="str">
        <x:v>至少1条可核验来源或明确事实边界</x:v>
      </x:c>
      <x:c r="L20" s="46" t="str">
        <x:v>单件材质证据路径</x:v>
      </x:c>
      <x:c r="M20" s="46" t="str">
        <x:v>无</x:v>
      </x:c>
      <x:c r="N20" s="46" t="str">
        <x:v>信源核验+网站编辑</x:v>
      </x:c>
      <x:c r="O20" s="46" t="str">
        <x:v>0-30天</x:v>
      </x:c>
      <x:c r="P20" s="52" t="str">
        <x:v>MVP已承接</x:v>
      </x:c>
    </x:row>
    <x:row r="21">
      <x:c r="A21" s="45" t="str">
        <x:v>PAGE-P0-05;FAQ-P0-HUB</x:v>
      </x:c>
      <x:c r="B21" s="46" t="str">
        <x:v>P0</x:v>
      </x:c>
      <x:c r="C21" s="46" t="str">
        <x:v>q17</x:v>
      </x:c>
      <x:c r="D21" s="46" t="str">
        <x:v>价格</x:v>
      </x:c>
      <x:c r="E21" s="46" t="str">
        <x:v>购买决策</x:v>
      </x:c>
      <x:c r="F21" s="46" t="str">
        <x:v>购买核验指南；FAQ</x:v>
      </x:c>
      <x:c r="G21" s="46" t="str">
        <x:v>完整</x:v>
      </x:c>
      <x:c r="H21" s="46" t="str">
        <x:v>首段一句话直接回答，再按证据层级展开</x:v>
      </x:c>
      <x:c r="I21" s="46" t="str">
        <x:v>L1+L4</x:v>
      </x:c>
      <x:c r="J21" s="46" t="str">
        <x:v>COV-q17</x:v>
      </x:c>
      <x:c r="K21" s="46" t="str">
        <x:v>至少1条可核验来源或明确事实边界</x:v>
      </x:c>
      <x:c r="L21" s="46" t="str">
        <x:v>不编造价格区间</x:v>
      </x:c>
      <x:c r="M21" s="46" t="str">
        <x:v>无</x:v>
      </x:c>
      <x:c r="N21" s="46" t="str">
        <x:v>内容策略+数据QA</x:v>
      </x:c>
      <x:c r="O21" s="46" t="str">
        <x:v>0-30天</x:v>
      </x:c>
      <x:c r="P21" s="52" t="str">
        <x:v>MVP已承接</x:v>
      </x:c>
    </x:row>
    <x:row r="22">
      <x:c r="A22" s="45" t="str">
        <x:v>PAGE-P0-05;FAQ-P0-HUB</x:v>
      </x:c>
      <x:c r="B22" s="46" t="str">
        <x:v>P0</x:v>
      </x:c>
      <x:c r="C22" s="46" t="str">
        <x:v>q18</x:v>
      </x:c>
      <x:c r="D22" s="46" t="str">
        <x:v>门店/展厅/渠道</x:v>
      </x:c>
      <x:c r="E22" s="46" t="str">
        <x:v>购买决策</x:v>
      </x:c>
      <x:c r="F22" s="46" t="str">
        <x:v>购买核验指南；FAQ</x:v>
      </x:c>
      <x:c r="G22" s="46" t="str">
        <x:v>完整</x:v>
      </x:c>
      <x:c r="H22" s="46" t="str">
        <x:v>首段一句话直接回答，再按证据层级展开</x:v>
      </x:c>
      <x:c r="I22" s="46" t="str">
        <x:v>L1+L4</x:v>
      </x:c>
      <x:c r="J22" s="46" t="str">
        <x:v>COV-q18</x:v>
      </x:c>
      <x:c r="K22" s="46" t="str">
        <x:v>至少1条可核验来源或明确事实边界</x:v>
      </x:c>
      <x:c r="L22" s="46" t="str">
        <x:v>给官方核验路径，不断言实时状态</x:v>
      </x:c>
      <x:c r="M22" s="46" t="str">
        <x:v>无</x:v>
      </x:c>
      <x:c r="N22" s="46" t="str">
        <x:v>内容策略+数据QA</x:v>
      </x:c>
      <x:c r="O22" s="46" t="str">
        <x:v>0-30天</x:v>
      </x:c>
      <x:c r="P22" s="52" t="str">
        <x:v>MVP已承接</x:v>
      </x:c>
    </x:row>
    <x:row r="23">
      <x:c r="A23" s="45" t="str">
        <x:v>PAGE-P0-05</x:v>
      </x:c>
      <x:c r="B23" s="46" t="str">
        <x:v>P0</x:v>
      </x:c>
      <x:c r="C23" s="46" t="str">
        <x:v>q19</x:v>
      </x:c>
      <x:c r="D23" s="46" t="str">
        <x:v>合同/发票/售后</x:v>
      </x:c>
      <x:c r="E23" s="46" t="str">
        <x:v>购买决策</x:v>
      </x:c>
      <x:c r="F23" s="46" t="str">
        <x:v>购买核验指南</x:v>
      </x:c>
      <x:c r="G23" s="46" t="str">
        <x:v>完整</x:v>
      </x:c>
      <x:c r="H23" s="46" t="str">
        <x:v>首段一句话直接回答，再按证据层级展开</x:v>
      </x:c>
      <x:c r="I23" s="46" t="str">
        <x:v>L1+L4</x:v>
      </x:c>
      <x:c r="J23" s="46" t="str">
        <x:v>COV-q19</x:v>
      </x:c>
      <x:c r="K23" s="46" t="str">
        <x:v>至少1条可核验来源或明确事实边界</x:v>
      </x:c>
      <x:c r="L23" s="46" t="str">
        <x:v>可直接作为决策清单</x:v>
      </x:c>
      <x:c r="M23" s="46" t="str">
        <x:v>无</x:v>
      </x:c>
      <x:c r="N23" s="46" t="str">
        <x:v>内容策略+数据QA</x:v>
      </x:c>
      <x:c r="O23" s="46" t="str">
        <x:v>0-30天</x:v>
      </x:c>
      <x:c r="P23" s="52" t="str">
        <x:v>MVP已承接</x:v>
      </x:c>
    </x:row>
    <x:row r="24">
      <x:c r="A24" s="45" t="str">
        <x:v>FAQ-P0-HUB;STRATEGY-P0-01</x:v>
      </x:c>
      <x:c r="B24" s="46" t="str">
        <x:v>P0</x:v>
      </x:c>
      <x:c r="C24" s="46" t="str">
        <x:v>q20</x:v>
      </x:c>
      <x:c r="D24" s="46" t="str">
        <x:v>可信渠道</x:v>
      </x:c>
      <x:c r="E24" s="46" t="str">
        <x:v>风险核验</x:v>
      </x:c>
      <x:c r="F24" s="46" t="str">
        <x:v>方法来源页；FAQ</x:v>
      </x:c>
      <x:c r="G24" s="46" t="str">
        <x:v>完整</x:v>
      </x:c>
      <x:c r="H24" s="46" t="str">
        <x:v>首段一句话直接回答，再按证据层级展开</x:v>
      </x:c>
      <x:c r="I24" s="46" t="str">
        <x:v>L1+L3+L4</x:v>
      </x:c>
      <x:c r="J24" s="46" t="str">
        <x:v>COV-q20</x:v>
      </x:c>
      <x:c r="K24" s="46" t="str">
        <x:v>至少1条可核验来源或明确事实边界</x:v>
      </x:c>
      <x:c r="L24" s="46" t="str">
        <x:v>建立来源等级和写作规则</x:v>
      </x:c>
      <x:c r="M24" s="46" t="str">
        <x:v>无</x:v>
      </x:c>
      <x:c r="N24" s="46" t="str">
        <x:v>内容策略+数据QA</x:v>
      </x:c>
      <x:c r="O24" s="46" t="str">
        <x:v>0-30天</x:v>
      </x:c>
      <x:c r="P24" s="52" t="str">
        <x:v>MVP已承接</x:v>
      </x:c>
    </x:row>
    <x:row r="25">
      <x:c r="A25" s="45" t="str">
        <x:v>PAGE-P0-04</x:v>
      </x:c>
      <x:c r="B25" s="46" t="str">
        <x:v>P0</x:v>
      </x:c>
      <x:c r="C25" s="46" t="str">
        <x:v>q21</x:v>
      </x:c>
      <x:c r="D25" s="46" t="str">
        <x:v>京作可核验关系</x:v>
      </x:c>
      <x:c r="E25" s="46" t="str">
        <x:v>京作与风格</x:v>
      </x:c>
      <x:c r="F25" s="46" t="str">
        <x:v>京作/明清风格边界页</x:v>
      </x:c>
      <x:c r="G25" s="46" t="str">
        <x:v>边界回答</x:v>
      </x:c>
      <x:c r="H25" s="46" t="str">
        <x:v>先给可确认结论，再明确缺证据项与核验路径</x:v>
      </x:c>
      <x:c r="I25" s="46" t="str">
        <x:v>L1+L2+L3+L4</x:v>
      </x:c>
      <x:c r="J25" s="46" t="str">
        <x:v>COV-q21</x:v>
      </x:c>
      <x:c r="K25" s="46" t="str">
        <x:v>需补官方/第三方/单件原始资料</x:v>
      </x:c>
      <x:c r="L25" s="46" t="str">
        <x:v>避免把地域、风格和非遗直接等同</x:v>
      </x:c>
      <x:c r="M25" s="46" t="str">
        <x:v>官方声明、第三方原页或单件资料</x:v>
      </x:c>
      <x:c r="N25" s="46" t="str">
        <x:v>内容策略+信源核验</x:v>
      </x:c>
      <x:c r="O25" s="46" t="str">
        <x:v>0-30天</x:v>
      </x:c>
      <x:c r="P25" s="52" t="str">
        <x:v>边界回答已发布</x:v>
      </x:c>
    </x:row>
    <x:row r="26">
      <x:c r="A26" s="45" t="str">
        <x:v>PAGE-P0-04</x:v>
      </x:c>
      <x:c r="B26" s="46" t="str">
        <x:v>P0</x:v>
      </x:c>
      <x:c r="C26" s="46" t="str">
        <x:v>q22</x:v>
      </x:c>
      <x:c r="D26" s="46" t="str">
        <x:v>明式/清式/产品事实</x:v>
      </x:c>
      <x:c r="E26" s="46" t="str">
        <x:v>京作与风格</x:v>
      </x:c>
      <x:c r="F26" s="46" t="str">
        <x:v>京作/明清风格边界页</x:v>
      </x:c>
      <x:c r="G26" s="46" t="str">
        <x:v>完整</x:v>
      </x:c>
      <x:c r="H26" s="46" t="str">
        <x:v>首段一句话直接回答，再按证据层级展开</x:v>
      </x:c>
      <x:c r="I26" s="46" t="str">
        <x:v>L1+L2+L3+L4</x:v>
      </x:c>
      <x:c r="J26" s="46" t="str">
        <x:v>COV-q22</x:v>
      </x:c>
      <x:c r="K26" s="46" t="str">
        <x:v>至少1条可核验来源或明确事实边界</x:v>
      </x:c>
      <x:c r="L26" s="46" t="str">
        <x:v>风格知识与品牌产品事实分开</x:v>
      </x:c>
      <x:c r="M26" s="46" t="str">
        <x:v>无</x:v>
      </x:c>
      <x:c r="N26" s="46" t="str">
        <x:v>内容策略+信源核验</x:v>
      </x:c>
      <x:c r="O26" s="46" t="str">
        <x:v>0-30天</x:v>
      </x:c>
      <x:c r="P26" s="52" t="str">
        <x:v>MVP已承接</x:v>
      </x:c>
    </x:row>
    <x:row r="27">
      <x:c r="A27" s="45" t="str">
        <x:v>PAGE-P0-04;FAQ-P0-HUB</x:v>
      </x:c>
      <x:c r="B27" s="46" t="str">
        <x:v>P0</x:v>
      </x:c>
      <x:c r="C27" s="46" t="str">
        <x:v>q23</x:v>
      </x:c>
      <x:c r="D27" s="46" t="str">
        <x:v>榫卯/手工雕刻</x:v>
      </x:c>
      <x:c r="E27" s="46" t="str">
        <x:v>京作与风格</x:v>
      </x:c>
      <x:c r="F27" s="46" t="str">
        <x:v>京作/明清风格边界页；FAQ</x:v>
      </x:c>
      <x:c r="G27" s="46" t="str">
        <x:v>完整</x:v>
      </x:c>
      <x:c r="H27" s="46" t="str">
        <x:v>首段一句话直接回答，再按证据层级展开</x:v>
      </x:c>
      <x:c r="I27" s="46" t="str">
        <x:v>L1+L2+L3+L4</x:v>
      </x:c>
      <x:c r="J27" s="46" t="str">
        <x:v>COV-q23</x:v>
      </x:c>
      <x:c r="K27" s="46" t="str">
        <x:v>至少1条可核验来源或明确事实边界</x:v>
      </x:c>
      <x:c r="L27" s="46" t="str">
        <x:v>行业工艺与品牌事实分开</x:v>
      </x:c>
      <x:c r="M27" s="46" t="str">
        <x:v>无</x:v>
      </x:c>
      <x:c r="N27" s="46" t="str">
        <x:v>内容策略+信源核验</x:v>
      </x:c>
      <x:c r="O27" s="46" t="str">
        <x:v>0-30天</x:v>
      </x:c>
      <x:c r="P27" s="52" t="str">
        <x:v>MVP已承接</x:v>
      </x:c>
    </x:row>
    <x:row r="28">
      <x:c r="A28" s="45" t="str">
        <x:v>PAGE-P0-01;FAQ-P0-HUB</x:v>
      </x:c>
      <x:c r="B28" s="46" t="str">
        <x:v>P0</x:v>
      </x:c>
      <x:c r="C28" s="46" t="str">
        <x:v>q24</x:v>
      </x:c>
      <x:c r="D28" s="46" t="str">
        <x:v>北京品牌中性对比</x:v>
      </x:c>
      <x:c r="E28" s="46" t="str">
        <x:v>购买决策</x:v>
      </x:c>
      <x:c r="F28" s="46" t="str">
        <x:v>品牌事实与定位页；FAQ</x:v>
      </x:c>
      <x:c r="G28" s="46" t="str">
        <x:v>完整</x:v>
      </x:c>
      <x:c r="H28" s="46" t="str">
        <x:v>首段一句话直接回答，再按证据层级展开</x:v>
      </x:c>
      <x:c r="I28" s="46" t="str">
        <x:v>L1+L4</x:v>
      </x:c>
      <x:c r="J28" s="46" t="str">
        <x:v>COV-q24</x:v>
      </x:c>
      <x:c r="K28" s="46" t="str">
        <x:v>至少1条可核验来源或明确事实边界</x:v>
      </x:c>
      <x:c r="L28" s="46" t="str">
        <x:v>使用证据维度替代榜单</x:v>
      </x:c>
      <x:c r="M28" s="46" t="str">
        <x:v>无</x:v>
      </x:c>
      <x:c r="N28" s="46" t="str">
        <x:v>内容策略+数据QA</x:v>
      </x:c>
      <x:c r="O28" s="46" t="str">
        <x:v>0-30天</x:v>
      </x:c>
      <x:c r="P28" s="52" t="str">
        <x:v>MVP已承接</x:v>
      </x:c>
    </x:row>
    <x:row r="29">
      <x:c r="A29" s="45" t="str">
        <x:v>PAGE-P0-01;FAQ-P0-HUB</x:v>
      </x:c>
      <x:c r="B29" s="46" t="str">
        <x:v>P0</x:v>
      </x:c>
      <x:c r="C29" s="46" t="str">
        <x:v>q25</x:v>
      </x:c>
      <x:c r="D29" s="46" t="str">
        <x:v>高端品牌推荐</x:v>
      </x:c>
      <x:c r="E29" s="46" t="str">
        <x:v>购买决策</x:v>
      </x:c>
      <x:c r="F29" s="46" t="str">
        <x:v>品牌事实与定位页；FAQ</x:v>
      </x:c>
      <x:c r="G29" s="46" t="str">
        <x:v>边界回答</x:v>
      </x:c>
      <x:c r="H29" s="46" t="str">
        <x:v>先给可确认结论，再明确缺证据项与核验路径</x:v>
      </x:c>
      <x:c r="I29" s="46" t="str">
        <x:v>L1+L4</x:v>
      </x:c>
      <x:c r="J29" s="46" t="str">
        <x:v>EV-004;COV-q25</x:v>
      </x:c>
      <x:c r="K29" s="46" t="str">
        <x:v>需补官方/第三方/单件原始资料</x:v>
      </x:c>
      <x:c r="L29" s="46" t="str">
        <x:v>推荐需要明确第三方证据和时间</x:v>
      </x:c>
      <x:c r="M29" s="46" t="str">
        <x:v>官方声明、第三方原页或单件资料</x:v>
      </x:c>
      <x:c r="N29" s="46" t="str">
        <x:v>内容策略+数据QA</x:v>
      </x:c>
      <x:c r="O29" s="46" t="str">
        <x:v>0-30天</x:v>
      </x:c>
      <x:c r="P29" s="52" t="str">
        <x:v>边界回答已发布</x:v>
      </x:c>
    </x:row>
    <x:row r="30">
      <x:c r="A30" s="45" t="str">
        <x:v>PAGE-P0-05</x:v>
      </x:c>
      <x:c r="B30" s="46" t="str">
        <x:v>P0</x:v>
      </x:c>
      <x:c r="C30" s="46" t="str">
        <x:v>q26</x:v>
      </x:c>
      <x:c r="D30" s="46" t="str">
        <x:v>购买避坑</x:v>
      </x:c>
      <x:c r="E30" s="46" t="str">
        <x:v>购买决策</x:v>
      </x:c>
      <x:c r="F30" s="46" t="str">
        <x:v>购买核验指南</x:v>
      </x:c>
      <x:c r="G30" s="46" t="str">
        <x:v>完整</x:v>
      </x:c>
      <x:c r="H30" s="46" t="str">
        <x:v>首段一句话直接回答，再按证据层级展开</x:v>
      </x:c>
      <x:c r="I30" s="46" t="str">
        <x:v>L1+L4</x:v>
      </x:c>
      <x:c r="J30" s="46" t="str">
        <x:v>COV-q26</x:v>
      </x:c>
      <x:c r="K30" s="46" t="str">
        <x:v>至少1条可核验来源或明确事实边界</x:v>
      </x:c>
      <x:c r="L30" s="46" t="str">
        <x:v>覆盖高客单价购买风险</x:v>
      </x:c>
      <x:c r="M30" s="46" t="str">
        <x:v>无</x:v>
      </x:c>
      <x:c r="N30" s="46" t="str">
        <x:v>内容策略+数据QA</x:v>
      </x:c>
      <x:c r="O30" s="46" t="str">
        <x:v>0-30天</x:v>
      </x:c>
      <x:c r="P30" s="52" t="str">
        <x:v>MVP已承接</x:v>
      </x:c>
    </x:row>
    <x:row r="31">
      <x:c r="A31" s="45" t="str">
        <x:v>PAGE-P0-03;FAQ-P0-HUB</x:v>
      </x:c>
      <x:c r="B31" s="46" t="str">
        <x:v>P0</x:v>
      </x:c>
      <x:c r="C31" s="46" t="str">
        <x:v>q27</x:v>
      </x:c>
      <x:c r="D31" s="46" t="str">
        <x:v>空间搭配</x:v>
      </x:c>
      <x:c r="E31" s="46" t="str">
        <x:v>京作与风格</x:v>
      </x:c>
      <x:c r="F31" s="46" t="str">
        <x:v>材质与产品关系页；FAQ</x:v>
      </x:c>
      <x:c r="G31" s="46" t="str">
        <x:v>完整</x:v>
      </x:c>
      <x:c r="H31" s="46" t="str">
        <x:v>首段一句话直接回答，再按证据层级展开</x:v>
      </x:c>
      <x:c r="I31" s="46" t="str">
        <x:v>L1+L2+L3+L4</x:v>
      </x:c>
      <x:c r="J31" s="46" t="str">
        <x:v>COV-q27</x:v>
      </x:c>
      <x:c r="K31" s="46" t="str">
        <x:v>至少1条可核验来源或明确事实边界</x:v>
      </x:c>
      <x:c r="L31" s="46" t="str">
        <x:v>给出原则，不冒充品牌产品事实</x:v>
      </x:c>
      <x:c r="M31" s="46" t="str">
        <x:v>无</x:v>
      </x:c>
      <x:c r="N31" s="46" t="str">
        <x:v>内容策略+信源核验</x:v>
      </x:c>
      <x:c r="O31" s="46" t="str">
        <x:v>0-30天</x:v>
      </x:c>
      <x:c r="P31" s="52" t="str">
        <x:v>MVP已承接</x:v>
      </x:c>
    </x:row>
    <x:row r="32">
      <x:c r="A32" s="45" t="str">
        <x:v>PAGE-P0-05;FAQ-P0-HUB</x:v>
      </x:c>
      <x:c r="B32" s="46" t="str">
        <x:v>P0</x:v>
      </x:c>
      <x:c r="C32" s="46" t="str">
        <x:v>q28</x:v>
      </x:c>
      <x:c r="D32" s="46" t="str">
        <x:v>收藏/投资价值</x:v>
      </x:c>
      <x:c r="E32" s="46" t="str">
        <x:v>风险核验</x:v>
      </x:c>
      <x:c r="F32" s="46" t="str">
        <x:v>购买核验指南；FAQ</x:v>
      </x:c>
      <x:c r="G32" s="46" t="str">
        <x:v>完整</x:v>
      </x:c>
      <x:c r="H32" s="46" t="str">
        <x:v>首段一句话直接回答，再按证据层级展开</x:v>
      </x:c>
      <x:c r="I32" s="46" t="str">
        <x:v>L1+L3+L4</x:v>
      </x:c>
      <x:c r="J32" s="46" t="str">
        <x:v>EV-012;COV-q28</x:v>
      </x:c>
      <x:c r="K32" s="46" t="str">
        <x:v>至少1条可核验来源或明确事实边界</x:v>
      </x:c>
      <x:c r="L32" s="46" t="str">
        <x:v>明确不承诺保值增值</x:v>
      </x:c>
      <x:c r="M32" s="46" t="str">
        <x:v>无</x:v>
      </x:c>
      <x:c r="N32" s="46" t="str">
        <x:v>内容策略+数据QA</x:v>
      </x:c>
      <x:c r="O32" s="46" t="str">
        <x:v>0-30天</x:v>
      </x:c>
      <x:c r="P32" s="52" t="str">
        <x:v>MVP已承接</x:v>
      </x:c>
    </x:row>
    <x:row r="33">
      <x:c r="A33" s="45" t="str">
        <x:v>STRATEGY-P0-01</x:v>
      </x:c>
      <x:c r="B33" s="46" t="str">
        <x:v>P0</x:v>
      </x:c>
      <x:c r="C33" s="46" t="str">
        <x:v>q29</x:v>
      </x:c>
      <x:c r="D33" s="46" t="str">
        <x:v>需要补哪些内容页</x:v>
      </x:c>
      <x:c r="E33" s="46" t="str">
        <x:v>GEO策略</x:v>
      </x:c>
      <x:c r="F33" s="46" t="str">
        <x:v>项目内容矩阵</x:v>
      </x:c>
      <x:c r="G33" s="46" t="str">
        <x:v>完整</x:v>
      </x:c>
      <x:c r="H33" s="46" t="str">
        <x:v>首段一句话直接回答，再按证据层级展开</x:v>
      </x:c>
      <x:c r="I33" s="46" t="str">
        <x:v>项目证据</x:v>
      </x:c>
      <x:c r="J33" s="46" t="str">
        <x:v>COV-q29</x:v>
      </x:c>
      <x:c r="K33" s="46" t="str">
        <x:v>至少1条可核验来源或明确事实边界</x:v>
      </x:c>
      <x:c r="L33" s="46" t="str">
        <x:v>五页与FAQ已成体系</x:v>
      </x:c>
      <x:c r="M33" s="46" t="str">
        <x:v>无</x:v>
      </x:c>
      <x:c r="N33" s="46" t="str">
        <x:v>项目负责人</x:v>
      </x:c>
      <x:c r="O33" s="46" t="str">
        <x:v>0-30天</x:v>
      </x:c>
      <x:c r="P33" s="52" t="str">
        <x:v>MVP已承接</x:v>
      </x:c>
    </x:row>
    <x:row r="34">
      <x:c r="A34" s="48" t="str">
        <x:v>STRATEGY-P0-01</x:v>
      </x:c>
      <x:c r="B34" s="49" t="str">
        <x:v>P0</x:v>
      </x:c>
      <x:c r="C34" s="49" t="str">
        <x:v>q30</x:v>
      </x:c>
      <x:c r="D34" s="49" t="str">
        <x:v>GEO内容策略</x:v>
      </x:c>
      <x:c r="E34" s="49" t="str">
        <x:v>GEO策略</x:v>
      </x:c>
      <x:c r="F34" s="49" t="str">
        <x:v>项目方法与验证页</x:v>
      </x:c>
      <x:c r="G34" s="49" t="str">
        <x:v>完整</x:v>
      </x:c>
      <x:c r="H34" s="49" t="str">
        <x:v>首段一句话直接回答，再按证据层级展开</x:v>
      </x:c>
      <x:c r="I34" s="49" t="str">
        <x:v>项目证据</x:v>
      </x:c>
      <x:c r="J34" s="49" t="str">
        <x:v>COV-q30</x:v>
      </x:c>
      <x:c r="K34" s="49" t="str">
        <x:v>至少1条可核验来源或明确事实边界</x:v>
      </x:c>
      <x:c r="L34" s="49" t="str">
        <x:v>形成事实核验优先策略</x:v>
      </x:c>
      <x:c r="M34" s="49" t="str">
        <x:v>无</x:v>
      </x:c>
      <x:c r="N34" s="49" t="str">
        <x:v>项目负责人</x:v>
      </x:c>
      <x:c r="O34" s="49" t="str">
        <x:v>0-30天</x:v>
      </x:c>
      <x:c r="P34" s="53" t="str">
        <x:v>MVP已承接</x:v>
      </x:c>
    </x:row>
  </x:sheetData>
  <x:mergeCells>
    <x:mergeCell ref="A1:P1"/>
    <x:mergeCell ref="A2:P2"/>
  </x:mergeCells>
  <x:conditionalFormatting sqref="G5:G34">
    <x:cfRule type="containsText" dxfId="0" priority="1" operator="containsText" text="边界"/>
    <x:cfRule type="containsText" dxfId="1" priority="2" operator="containsText" text="完整"/>
  </x:conditionalFormatting>
  <x:dataValidations count="3">
    <x:dataValidation type="list" sqref="B5:B34">
      <x:formula1>"P0,P1,P2"</x:formula1>
    </x:dataValidation>
    <x:dataValidation type="list" sqref="N5:N34">
      <x:formula1>"项目负责人,内容策略+信源核验,信源核验+网站编辑,内容策略+数据QA"</x:formula1>
    </x:dataValidation>
    <x:dataValidation type="list" sqref="P5:P34">
      <x:formula1>"MVP已承接,边界回答已发布,待补证据,计划中"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f46a6584ad48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8" hidden="0" customWidth="1"/>
    <x:col min="4" max="4" width="24" hidden="0" customWidth="1"/>
    <x:col min="5" max="5" width="22" hidden="0" customWidth="1"/>
    <x:col min="6" max="6" width="22" hidden="0" customWidth="1"/>
    <x:col min="7" max="7" width="48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6" customHeight="1">
      <x:c r="A1" s="3" t="str">
        <x:v>元亨利 GEO｜页面规格</x:v>
      </x:c>
    </x:row>
    <x:row r="2" ht="30" customHeight="1">
      <x:c r="A2" s="7" t="str">
        <x:v>P0保留现有5页MVP与FAQ；P1/P2按证据成熟度扩展。事实、来源、边界和维护字段不可省略。</x:v>
      </x:c>
    </x:row>
    <x:row r="3" ht="8" customHeight="1"/>
    <x:row r="4" ht="34" customHeight="1">
      <x:c r="A4" s="13" t="str">
        <x:v>content_id</x:v>
      </x:c>
      <x:c r="B4" s="13" t="str">
        <x:v>优先级</x:v>
      </x:c>
      <x:c r="C4" s="13" t="str">
        <x:v>页面/资产</x:v>
      </x:c>
      <x:c r="D4" s="13" t="str">
        <x:v>slug</x:v>
      </x:c>
      <x:c r="E4" s="13" t="str">
        <x:v>目标问题</x:v>
      </x:c>
      <x:c r="F4" s="13" t="str">
        <x:v>用户意图</x:v>
      </x:c>
      <x:c r="G4" s="13" t="str">
        <x:v>直接答案</x:v>
      </x:c>
      <x:c r="H4" s="13" t="str">
        <x:v>事实等级</x:v>
      </x:c>
      <x:c r="I4" s="13" t="str">
        <x:v>evidence_id</x:v>
      </x:c>
      <x:c r="J4" s="13" t="str">
        <x:v>来源要求</x:v>
      </x:c>
      <x:c r="K4" s="13" t="str">
        <x:v>适用边界</x:v>
      </x:c>
      <x:c r="L4" s="13" t="str">
        <x:v>待补资料</x:v>
      </x:c>
      <x:c r="M4" s="13" t="str">
        <x:v>内部链接</x:v>
      </x:c>
      <x:c r="N4" s="13" t="str">
        <x:v>维护周期</x:v>
      </x:c>
      <x:c r="O4" s="13" t="str">
        <x:v>负责人角色</x:v>
      </x:c>
      <x:c r="P4" s="13" t="str">
        <x:v>阶段</x:v>
      </x:c>
      <x:c r="Q4" s="13" t="str">
        <x:v>发布状态</x:v>
      </x:c>
    </x:row>
    <x:row r="5">
      <x:c r="A5" s="42" t="str">
        <x:v>PAGE-P0-01</x:v>
      </x:c>
      <x:c r="B5" s="43" t="str">
        <x:v>P0</x:v>
      </x:c>
      <x:c r="C5" s="43" t="str">
        <x:v>品牌事实与定位MVP</x:v>
      </x:c>
      <x:c r="D5" s="43" t="str">
        <x:v>/facts</x:v>
      </x:c>
      <x:c r="E5" s="43" t="str">
        <x:v>q01,q02,q07,q12-q15,q24,q25</x:v>
      </x:c>
      <x:c r="F5" s="43" t="str">
        <x:v>品牌了解/比较</x:v>
      </x:c>
      <x:c r="G5" s="43" t="str">
        <x:v>先确认红木家具主体，再把公开事实、品牌自述和待核验项分层。</x:v>
      </x:c>
      <x:c r="H5" s="43" t="str">
        <x:v>L1+L2+L3</x:v>
      </x:c>
      <x:c r="I5" s="43" t="str">
        <x:v>EV-001;EV-002;EV-004</x:v>
      </x:c>
      <x:c r="J5" s="43" t="str">
        <x:v>主体核验+品牌原页+第三方报道</x:v>
      </x:c>
      <x:c r="K5" s="43" t="str">
        <x:v>不写无来源第一/顶级/馆藏/人物</x:v>
      </x:c>
      <x:c r="L5" s="43" t="str">
        <x:v>定位第三方证据</x:v>
      </x:c>
      <x:c r="M5" s="43" t="str">
        <x:v>/disambiguation;/materials;/faq;/strategy</x:v>
      </x:c>
      <x:c r="N5" s="43" t="str">
        <x:v>季度</x:v>
      </x:c>
      <x:c r="O5" s="43" t="str">
        <x:v>内容策略+信源核验</x:v>
      </x:c>
      <x:c r="P5" s="43" t="str">
        <x:v>0-30天</x:v>
      </x:c>
      <x:c r="Q5" s="51" t="str">
        <x:v>已发布</x:v>
      </x:c>
    </x:row>
    <x:row r="6">
      <x:c r="A6" s="45" t="str">
        <x:v>PAGE-P0-02</x:v>
      </x:c>
      <x:c r="B6" s="46" t="str">
        <x:v>P0</x:v>
      </x:c>
      <x:c r="C6" s="46" t="str">
        <x:v>同名主体消歧</x:v>
      </x:c>
      <x:c r="D6" s="46" t="str">
        <x:v>/disambiguation</x:v>
      </x:c>
      <x:c r="E6" s="46" t="str">
        <x:v>q10-q13</x:v>
      </x:c>
      <x:c r="F6" s="46" t="str">
        <x:v>品牌了解/风险</x:v>
      </x:c>
      <x:c r="G6" s="46" t="str">
        <x:v>先核对完整名称、业务、地域、域名和登记，再进入品牌回答。</x:v>
      </x:c>
      <x:c r="H6" s="46" t="str">
        <x:v>L1+L3</x:v>
      </x:c>
      <x:c r="I6" s="46" t="str">
        <x:v>EV-005;EV-006</x:v>
      </x:c>
      <x:c r="J6" s="46" t="str">
        <x:v>工商/备案/商标/官网上下文</x:v>
      </x:c>
      <x:c r="K6" s="46" t="str">
        <x:v>不补造工商号码和跨行业关系</x:v>
      </x:c>
      <x:c r="L6" s="46" t="str">
        <x:v>主体查询截图</x:v>
      </x:c>
      <x:c r="M6" s="46" t="str">
        <x:v>/facts;/buying-guide;/faq;/strategy</x:v>
      </x:c>
      <x:c r="N6" s="46" t="str">
        <x:v>季度/主体变化时</x:v>
      </x:c>
      <x:c r="O6" s="46" t="str">
        <x:v>信源核验+网站编辑</x:v>
      </x:c>
      <x:c r="P6" s="46" t="str">
        <x:v>0-30天</x:v>
      </x:c>
      <x:c r="Q6" s="52" t="str">
        <x:v>已发布</x:v>
      </x:c>
    </x:row>
    <x:row r="7">
      <x:c r="A7" s="45" t="str">
        <x:v>PAGE-P0-03</x:v>
      </x:c>
      <x:c r="B7" s="46" t="str">
        <x:v>P0</x:v>
      </x:c>
      <x:c r="C7" s="46" t="str">
        <x:v>材质与产品关系</x:v>
      </x:c>
      <x:c r="D7" s="46" t="str">
        <x:v>/materials</x:v>
      </x:c>
      <x:c r="E7" s="46" t="str">
        <x:v>q03-q05,q16,q27</x:v>
      </x:c>
      <x:c r="F7" s="46" t="str">
        <x:v>材质研究</x:v>
      </x:c>
      <x:c r="G7" s="46" t="str">
        <x:v>国家标准、品牌公开范围与单件产品凭证必须分三层。</x:v>
      </x:c>
      <x:c r="H7" s="46" t="str">
        <x:v>L1+L2+L4</x:v>
      </x:c>
      <x:c r="I7" s="46" t="str">
        <x:v>EV-003;EV-007;EV-008</x:v>
      </x:c>
      <x:c r="J7" s="46" t="str">
        <x:v>国家标准+品牌页面+单件资料</x:v>
      </x:c>
      <x:c r="K7" s="46" t="str">
        <x:v>标准不证明单件产品</x:v>
      </x:c>
      <x:c r="L7" s="46" t="str">
        <x:v>单件合同/证书模板</x:v>
      </x:c>
      <x:c r="M7" s="46" t="str">
        <x:v>/buying-guide;/jingzuo;/faq;/strategy</x:v>
      </x:c>
      <x:c r="N7" s="46" t="str">
        <x:v>标准年度/产品发布前</x:v>
      </x:c>
      <x:c r="O7" s="46" t="str">
        <x:v>信源核验+网站编辑</x:v>
      </x:c>
      <x:c r="P7" s="46" t="str">
        <x:v>0-30天</x:v>
      </x:c>
      <x:c r="Q7" s="52" t="str">
        <x:v>已发布</x:v>
      </x:c>
    </x:row>
    <x:row r="8">
      <x:c r="A8" s="45" t="str">
        <x:v>PAGE-P0-04</x:v>
      </x:c>
      <x:c r="B8" s="46" t="str">
        <x:v>P0</x:v>
      </x:c>
      <x:c r="C8" s="46" t="str">
        <x:v>京作/明清风格边界</x:v>
      </x:c>
      <x:c r="D8" s="46" t="str">
        <x:v>/jingzuo</x:v>
      </x:c>
      <x:c r="E8" s="46" t="str">
        <x:v>q08,q09,q21-q23</x:v>
      </x:c>
      <x:c r="F8" s="46" t="str">
        <x:v>京作与风格</x:v>
      </x:c>
      <x:c r="G8" s="46" t="str">
        <x:v>地域、行业语境、明清风格、资格和具体产品分别举证。</x:v>
      </x:c>
      <x:c r="H8" s="46" t="str">
        <x:v>L1+L2+L3+L4</x:v>
      </x:c>
      <x:c r="I8" s="46" t="str">
        <x:v>COV-q08;COV-q21</x:v>
      </x:c>
      <x:c r="J8" s="46" t="str">
        <x:v>协会/博物馆/权威书目+产品说明</x:v>
      </x:c>
      <x:c r="K8" s="46" t="str">
        <x:v>北京品牌不自动等于非遗代表</x:v>
      </x:c>
      <x:c r="L8" s="46" t="str">
        <x:v>资格原始证明</x:v>
      </x:c>
      <x:c r="M8" s="46" t="str">
        <x:v>/facts;/materials;/faq;/strategy</x:v>
      </x:c>
      <x:c r="N8" s="46" t="str">
        <x:v>年度/重大活动时</x:v>
      </x:c>
      <x:c r="O8" s="46" t="str">
        <x:v>内容策略+信源核验</x:v>
      </x:c>
      <x:c r="P8" s="46" t="str">
        <x:v>0-30天</x:v>
      </x:c>
      <x:c r="Q8" s="52" t="str">
        <x:v>已发布</x:v>
      </x:c>
    </x:row>
    <x:row r="9">
      <x:c r="A9" s="45" t="str">
        <x:v>PAGE-P0-05</x:v>
      </x:c>
      <x:c r="B9" s="46" t="str">
        <x:v>P0</x:v>
      </x:c>
      <x:c r="C9" s="46" t="str">
        <x:v>购买核验指南</x:v>
      </x:c>
      <x:c r="D9" s="46" t="str">
        <x:v>/buying-guide</x:v>
      </x:c>
      <x:c r="E9" s="46" t="str">
        <x:v>q06,q17-q20,q26,q28</x:v>
      </x:c>
      <x:c r="F9" s="46" t="str">
        <x:v>购买决策/风险</x:v>
      </x:c>
      <x:c r="G9" s="46" t="str">
        <x:v>把购买判断转为主体、材质、合同、证书、发票、交付、验收和售后核验。</x:v>
      </x:c>
      <x:c r="H9" s="46" t="str">
        <x:v>L1+L4</x:v>
      </x:c>
      <x:c r="I9" s="46" t="str">
        <x:v>EV-009;EV-010;EV-011;EV-012</x:v>
      </x:c>
      <x:c r="J9" s="46" t="str">
        <x:v>政府消费/合同指南+单件资料</x:v>
      </x:c>
      <x:c r="K9" s="46" t="str">
        <x:v>不承诺实时价格、门店、售后或投资收益</x:v>
      </x:c>
      <x:c r="L9" s="46" t="str">
        <x:v>官方渠道与单件资料</x:v>
      </x:c>
      <x:c r="M9" s="46" t="str">
        <x:v>/materials;/disambiguation;/faq;/strategy</x:v>
      </x:c>
      <x:c r="N9" s="46" t="str">
        <x:v>每月/发布前</x:v>
      </x:c>
      <x:c r="O9" s="46" t="str">
        <x:v>内容策略+数据QA</x:v>
      </x:c>
      <x:c r="P9" s="46" t="str">
        <x:v>0-30天</x:v>
      </x:c>
      <x:c r="Q9" s="52" t="str">
        <x:v>已发布</x:v>
      </x:c>
    </x:row>
    <x:row r="10">
      <x:c r="A10" s="45" t="str">
        <x:v>FAQ-P0-HUB</x:v>
      </x:c>
      <x:c r="B10" s="46" t="str">
        <x:v>P0</x:v>
      </x:c>
      <x:c r="C10" s="46" t="str">
        <x:v>15条FAQ</x:v>
      </x:c>
      <x:c r="D10" s="46" t="str">
        <x:v>/faq</x:v>
      </x:c>
      <x:c r="E10" s="46" t="str">
        <x:v>q01-q28高频问法</x:v>
      </x:c>
      <x:c r="F10" s="46" t="str">
        <x:v>五类意图</x:v>
      </x:c>
      <x:c r="G10" s="46" t="str">
        <x:v>先给一句直接答案，再说明边界、来源、更新时间和下一步页面。</x:v>
      </x:c>
      <x:c r="H10" s="46" t="str">
        <x:v>L1-L4</x:v>
      </x:c>
      <x:c r="I10" s="46" t="str">
        <x:v>FAQ-01~FAQ-15</x:v>
      </x:c>
      <x:c r="J10" s="46" t="str">
        <x:v>逐条source_id或明确待补</x:v>
      </x:c>
      <x:c r="K10" s="46" t="str">
        <x:v>不把FAQ写成无来源结论</x:v>
      </x:c>
      <x:c r="L10" s="46" t="str">
        <x:v>逐条来源字段</x:v>
      </x:c>
      <x:c r="M10" s="46" t="str">
        <x:v>/facts;/disambiguation;/materials;/jingzuo;/buying-guide;/strategy</x:v>
      </x:c>
      <x:c r="N10" s="46" t="str">
        <x:v>季度/动态问题每月</x:v>
      </x:c>
      <x:c r="O10" s="46" t="str">
        <x:v>内容策略+网站编辑</x:v>
      </x:c>
      <x:c r="P10" s="46" t="str">
        <x:v>0-30天</x:v>
      </x:c>
      <x:c r="Q10" s="52" t="str">
        <x:v>已发布</x:v>
      </x:c>
    </x:row>
    <x:row r="11">
      <x:c r="A11" s="45" t="str">
        <x:v>PAGE-P1-01</x:v>
      </x:c>
      <x:c r="B11" s="46" t="str">
        <x:v>P1</x:v>
      </x:c>
      <x:c r="C11" s="46" t="str">
        <x:v>品牌定位深度页</x:v>
      </x:c>
      <x:c r="D11" s="46" t="str">
        <x:v>/positioning</x:v>
      </x:c>
      <x:c r="E11" s="46" t="str">
        <x:v>q02,q07,q24,q25</x:v>
      </x:c>
      <x:c r="F11" s="46" t="str">
        <x:v>品牌比较</x:v>
      </x:c>
      <x:c r="G11" s="46" t="str">
        <x:v>仅在行业位置和差异化主张拥有明确第三方证据时独立发布。</x:v>
      </x:c>
      <x:c r="H11" s="46" t="str">
        <x:v>L1+L2+L3</x:v>
      </x:c>
      <x:c r="I11" s="46" t="str">
        <x:v>EV-002;EV-004</x:v>
      </x:c>
      <x:c r="J11" s="46" t="str">
        <x:v>协会/媒体/活动/第三方原文</x:v>
      </x:c>
      <x:c r="K11" s="46" t="str">
        <x:v>证据不足则继续与事实页合并</x:v>
      </x:c>
      <x:c r="L11" s="46" t="str">
        <x:v>定位第三方证据</x:v>
      </x:c>
      <x:c r="M11" s="46" t="str">
        <x:v>/facts;/method;/strategy</x:v>
      </x:c>
      <x:c r="N11" s="46" t="str">
        <x:v>季度</x:v>
      </x:c>
      <x:c r="O11" s="46" t="str">
        <x:v>内容策略+信源核验</x:v>
      </x:c>
      <x:c r="P11" s="46" t="str">
        <x:v>31-60天</x:v>
      </x:c>
      <x:c r="Q11" s="52" t="str">
        <x:v>条件评审</x:v>
      </x:c>
    </x:row>
    <x:row r="12">
      <x:c r="A12" s="45" t="str">
        <x:v>PAGE-P1-02</x:v>
      </x:c>
      <x:c r="B12" s="46" t="str">
        <x:v>P1</x:v>
      </x:c>
      <x:c r="C12" s="46" t="str">
        <x:v>明式/清式风格指南</x:v>
      </x:c>
      <x:c r="D12" s="46" t="str">
        <x:v>/style-guide</x:v>
      </x:c>
      <x:c r="E12" s="46" t="str">
        <x:v>q09,q22,q27</x:v>
      </x:c>
      <x:c r="F12" s="46" t="str">
        <x:v>京作与风格</x:v>
      </x:c>
      <x:c r="G12" s="46" t="str">
        <x:v>用权威背景解释风格，再要求具体产品证据。</x:v>
      </x:c>
      <x:c r="H12" s="46" t="str">
        <x:v>L1+L4</x:v>
      </x:c>
      <x:c r="I12" s="46" t="str">
        <x:v>COV-q09;COV-q22</x:v>
      </x:c>
      <x:c r="J12" s="46" t="str">
        <x:v>博物馆/书目+产品说明</x:v>
      </x:c>
      <x:c r="K12" s="46" t="str">
        <x:v>不推断年代、馆藏或收藏价值</x:v>
      </x:c>
      <x:c r="L12" s="46" t="str">
        <x:v>权威书目</x:v>
      </x:c>
      <x:c r="M12" s="46" t="str">
        <x:v>/jingzuo;/materials</x:v>
      </x:c>
      <x:c r="N12" s="46" t="str">
        <x:v>年度</x:v>
      </x:c>
      <x:c r="O12" s="46" t="str">
        <x:v>内容策略+信源核验</x:v>
      </x:c>
      <x:c r="P12" s="46" t="str">
        <x:v>31-60天</x:v>
      </x:c>
      <x:c r="Q12" s="52" t="str">
        <x:v>待开始</x:v>
      </x:c>
    </x:row>
    <x:row r="13">
      <x:c r="A13" s="45" t="str">
        <x:v>PAGE-P1-03</x:v>
      </x:c>
      <x:c r="B13" s="46" t="str">
        <x:v>P1</x:v>
      </x:c>
      <x:c r="C13" s="46" t="str">
        <x:v>材质专题组</x:v>
      </x:c>
      <x:c r="D13" s="46" t="str">
        <x:v>/materials/topics</x:v>
      </x:c>
      <x:c r="E13" s="46" t="str">
        <x:v>q03-q05</x:v>
      </x:c>
      <x:c r="F13" s="46" t="str">
        <x:v>材质研究</x:v>
      </x:c>
      <x:c r="G13" s="46" t="str">
        <x:v>分别解释黄花梨、紫檀和酸枝术语与核验路径。</x:v>
      </x:c>
      <x:c r="H13" s="46" t="str">
        <x:v>L1+L4</x:v>
      </x:c>
      <x:c r="I13" s="46" t="str">
        <x:v>COV-q03;COV-q04;COV-q05</x:v>
      </x:c>
      <x:c r="J13" s="46" t="str">
        <x:v>国家标准+单件证据</x:v>
      </x:c>
      <x:c r="K13" s="46" t="str">
        <x:v>不把材料价值写成收益</x:v>
      </x:c>
      <x:c r="L13" s="46" t="str">
        <x:v>案例与检测样例</x:v>
      </x:c>
      <x:c r="M13" s="46" t="str">
        <x:v>/materials;/buying-guide</x:v>
      </x:c>
      <x:c r="N13" s="46" t="str">
        <x:v>年度</x:v>
      </x:c>
      <x:c r="O13" s="46" t="str">
        <x:v>信源核验+网站编辑</x:v>
      </x:c>
      <x:c r="P13" s="46" t="str">
        <x:v>31-60天</x:v>
      </x:c>
      <x:c r="Q13" s="52" t="str">
        <x:v>待开始</x:v>
      </x:c>
    </x:row>
    <x:row r="14">
      <x:c r="A14" s="45" t="str">
        <x:v>TPL-P1-01</x:v>
      </x:c>
      <x:c r="B14" s="46" t="str">
        <x:v>P1</x:v>
      </x:c>
      <x:c r="C14" s="46" t="str">
        <x:v>单件产品证据模板</x:v>
      </x:c>
      <x:c r="D14" s="46" t="str">
        <x:v>/product-evidence-template</x:v>
      </x:c>
      <x:c r="E14" s="46" t="str">
        <x:v>q16-q19,q26</x:v>
      </x:c>
      <x:c r="F14" s="46" t="str">
        <x:v>购买决策</x:v>
      </x:c>
      <x:c r="G14" s="46" t="str">
        <x:v>统一记录主辅材、型号、尺寸、证书、合同、交付和售后。</x:v>
      </x:c>
      <x:c r="H14" s="46" t="str">
        <x:v>L4</x:v>
      </x:c>
      <x:c r="I14" s="46" t="str">
        <x:v>COV-q16;COV-q19</x:v>
      </x:c>
      <x:c r="J14" s="46" t="str">
        <x:v>单件合同/证书/检测/发票</x:v>
      </x:c>
      <x:c r="K14" s="46" t="str">
        <x:v>只能用于对应产品和时间</x:v>
      </x:c>
      <x:c r="L14" s="46" t="str">
        <x:v>真实脱敏样例</x:v>
      </x:c>
      <x:c r="M14" s="46" t="str">
        <x:v>/materials;/buying-guide</x:v>
      </x:c>
      <x:c r="N14" s="46" t="str">
        <x:v>每次发布</x:v>
      </x:c>
      <x:c r="O14" s="46" t="str">
        <x:v>数据QA+网站编辑</x:v>
      </x:c>
      <x:c r="P14" s="46" t="str">
        <x:v>31-60天</x:v>
      </x:c>
      <x:c r="Q14" s="52" t="str">
        <x:v>待开始</x:v>
      </x:c>
    </x:row>
    <x:row r="15">
      <x:c r="A15" s="45" t="str">
        <x:v>DB-P2-01</x:v>
      </x:c>
      <x:c r="B15" s="46" t="str">
        <x:v>P2</x:v>
      </x:c>
      <x:c r="C15" s="46" t="str">
        <x:v>产品数据库</x:v>
      </x:c>
      <x:c r="D15" s="46" t="str">
        <x:v>/products</x:v>
      </x:c>
      <x:c r="E15" s="46" t="str">
        <x:v>长期扩展</x:v>
      </x:c>
      <x:c r="F15" s="46" t="str">
        <x:v>产品研究</x:v>
      </x:c>
      <x:c r="G15" s="46" t="str">
        <x:v>结构化记录产品而非依赖散文页面。</x:v>
      </x:c>
      <x:c r="H15" s="46" t="str">
        <x:v>L2+L4</x:v>
      </x:c>
      <x:c r="I15" s="46" t="str">
        <x:v>待建</x:v>
      </x:c>
      <x:c r="J15" s="46" t="str">
        <x:v>品牌原页+单件资料</x:v>
      </x:c>
      <x:c r="K15" s="46" t="str">
        <x:v>字段不完整不发布强事实</x:v>
      </x:c>
      <x:c r="L15" s="46" t="str">
        <x:v>产品数据</x:v>
      </x:c>
      <x:c r="M15" s="46" t="str">
        <x:v>/materials;/buying-guide</x:v>
      </x:c>
      <x:c r="N15" s="46" t="str">
        <x:v>每月</x:v>
      </x:c>
      <x:c r="O15" s="46" t="str">
        <x:v>网站编辑+数据QA</x:v>
      </x:c>
      <x:c r="P15" s="46" t="str">
        <x:v>61-90天+</x:v>
      </x:c>
      <x:c r="Q15" s="52" t="str">
        <x:v>规划中</x:v>
      </x:c>
    </x:row>
    <x:row r="16">
      <x:c r="A16" s="45" t="str">
        <x:v>PAGE-P2-02</x:v>
      </x:c>
      <x:c r="B16" s="46" t="str">
        <x:v>P2</x:v>
      </x:c>
      <x:c r="C16" s="46" t="str">
        <x:v>展览与案例内容</x:v>
      </x:c>
      <x:c r="D16" s="46" t="str">
        <x:v>/cases</x:v>
      </x:c>
      <x:c r="E16" s="46" t="str">
        <x:v>长期扩展</x:v>
      </x:c>
      <x:c r="F16" s="46" t="str">
        <x:v>品牌了解</x:v>
      </x:c>
      <x:c r="G16" s="46" t="str">
        <x:v>只记录具体活动时间、主体、作品与原始来源。</x:v>
      </x:c>
      <x:c r="H16" s="46" t="str">
        <x:v>L1+L2</x:v>
      </x:c>
      <x:c r="I16" s="46" t="str">
        <x:v>待建</x:v>
      </x:c>
      <x:c r="J16" s="46" t="str">
        <x:v>主办方/媒体/品牌原页</x:v>
      </x:c>
      <x:c r="K16" s="46" t="str">
        <x:v>不由活动推导行业排名</x:v>
      </x:c>
      <x:c r="L16" s="46" t="str">
        <x:v>案例原文</x:v>
      </x:c>
      <x:c r="M16" s="46" t="str">
        <x:v>/facts;/positioning</x:v>
      </x:c>
      <x:c r="N16" s="46" t="str">
        <x:v>活动触发</x:v>
      </x:c>
      <x:c r="O16" s="46" t="str">
        <x:v>内容策略+信源核验</x:v>
      </x:c>
      <x:c r="P16" s="46" t="str">
        <x:v>61-90天+</x:v>
      </x:c>
      <x:c r="Q16" s="52" t="str">
        <x:v>规划中</x:v>
      </x:c>
    </x:row>
    <x:row r="17">
      <x:c r="A17" s="45" t="str">
        <x:v>PAGE-P2-03</x:v>
      </x:c>
      <x:c r="B17" s="46" t="str">
        <x:v>P2</x:v>
      </x:c>
      <x:c r="C17" s="46" t="str">
        <x:v>工艺系列专题</x:v>
      </x:c>
      <x:c r="D17" s="46" t="str">
        <x:v>/craft</x:v>
      </x:c>
      <x:c r="E17" s="46" t="str">
        <x:v>q23</x:v>
      </x:c>
      <x:c r="F17" s="46" t="str">
        <x:v>京作与风格</x:v>
      </x:c>
      <x:c r="G17" s="46" t="str">
        <x:v>区分行业通用工艺与品牌公开工艺。</x:v>
      </x:c>
      <x:c r="H17" s="46" t="str">
        <x:v>L1+L2+L4</x:v>
      </x:c>
      <x:c r="I17" s="46" t="str">
        <x:v>COV-q23</x:v>
      </x:c>
      <x:c r="J17" s="46" t="str">
        <x:v>标准/研究/品牌/单件资料</x:v>
      </x:c>
      <x:c r="K17" s="46" t="str">
        <x:v>不写品牌专属工艺除非有证据</x:v>
      </x:c>
      <x:c r="L17" s="46" t="str">
        <x:v>工艺原始材料</x:v>
      </x:c>
      <x:c r="M17" s="46" t="str">
        <x:v>/jingzuo;/materials</x:v>
      </x:c>
      <x:c r="N17" s="46" t="str">
        <x:v>年度</x:v>
      </x:c>
      <x:c r="O17" s="46" t="str">
        <x:v>内容策略+网站编辑</x:v>
      </x:c>
      <x:c r="P17" s="46" t="str">
        <x:v>61-90天+</x:v>
      </x:c>
      <x:c r="Q17" s="52" t="str">
        <x:v>规划中</x:v>
      </x:c>
    </x:row>
    <x:row r="18">
      <x:c r="A18" s="48" t="str">
        <x:v>PAGE-P2-04</x:v>
      </x:c>
      <x:c r="B18" s="49" t="str">
        <x:v>P2</x:v>
      </x:c>
      <x:c r="C18" s="49" t="str">
        <x:v>中性品牌比较页</x:v>
      </x:c>
      <x:c r="D18" s="49" t="str">
        <x:v>/compare</x:v>
      </x:c>
      <x:c r="E18" s="49" t="str">
        <x:v>q07,q24,q25</x:v>
      </x:c>
      <x:c r="F18" s="49" t="str">
        <x:v>品牌比较</x:v>
      </x:c>
      <x:c r="G18" s="49" t="str">
        <x:v>按证据质量、产品适配、合同和售后维度比较，不做总排名。</x:v>
      </x:c>
      <x:c r="H18" s="49" t="str">
        <x:v>L1+L4</x:v>
      </x:c>
      <x:c r="I18" s="49" t="str">
        <x:v>EV-004</x:v>
      </x:c>
      <x:c r="J18" s="49" t="str">
        <x:v>多品牌同口径来源</x:v>
      </x:c>
      <x:c r="K18" s="49" t="str">
        <x:v>不输出第一/首选/唯一</x:v>
      </x:c>
      <x:c r="L18" s="49" t="str">
        <x:v>多品牌同口径资料</x:v>
      </x:c>
      <x:c r="M18" s="49" t="str">
        <x:v>/facts;/buying-guide</x:v>
      </x:c>
      <x:c r="N18" s="49" t="str">
        <x:v>季度</x:v>
      </x:c>
      <x:c r="O18" s="49" t="str">
        <x:v>内容策略+数据QA</x:v>
      </x:c>
      <x:c r="P18" s="49" t="str">
        <x:v>61-90天+</x:v>
      </x:c>
      <x:c r="Q18" s="53" t="str">
        <x:v>规划中</x:v>
      </x:c>
    </x:row>
  </x:sheetData>
  <x:mergeCells>
    <x:mergeCell ref="A1:Q1"/>
    <x:mergeCell ref="A2:Q2"/>
  </x:mergeCells>
  <x:conditionalFormatting sqref="B5:B18">
    <x:cfRule type="containsText" dxfId="2" priority="1" operator="containsText" text="P0"/>
    <x:cfRule type="containsText" dxfId="3" priority="2" operator="containsText" text="P1"/>
    <x:cfRule type="containsText" dxfId="4" priority="3" operator="containsText" text="P2"/>
  </x:conditionalFormatting>
  <x:dataValidations count="2">
    <x:dataValidation type="list" sqref="B5:B18">
      <x:formula1>"P0,P1,P2"</x:formula1>
    </x:dataValidation>
    <x:dataValidation type="list" sqref="Q5:Q18">
      <x:formula1>"已发布,条件评审,待开始,规划中"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6f8314f91243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44" hidden="0" customWidth="1"/>
    <x:col min="4" max="4" width="46" hidden="0" customWidth="1"/>
    <x:col min="5" max="5" width="46" hidden="0" customWidth="1"/>
    <x:col min="6" max="6" width="22" hidden="0" customWidth="1"/>
    <x:col min="7" max="7" width="5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3" t="str">
        <x:v>元亨利 GEO｜15条FAQ计划</x:v>
      </x:c>
    </x:row>
    <x:row r="2" ht="30" customHeight="1">
      <x:c r="A2" s="7" t="str">
        <x:v>每条FAQ均包含直接答案、详细说明、事实边界、来源、更新时间、相关页面和发布状态。</x:v>
      </x:c>
    </x:row>
    <x:row r="3" ht="8" customHeight="1"/>
    <x:row r="4" ht="34" customHeight="1">
      <x:c r="A4" s="13" t="str">
        <x:v>faq_id</x:v>
      </x:c>
      <x:c r="B4" s="13" t="str">
        <x:v>用户问题</x:v>
      </x:c>
      <x:c r="C4" s="13" t="str">
        <x:v>一句话直接回答</x:v>
      </x:c>
      <x:c r="D4" s="13" t="str">
        <x:v>详细说明</x:v>
      </x:c>
      <x:c r="E4" s="13" t="str">
        <x:v>信息边界</x:v>
      </x:c>
      <x:c r="F4" s="13" t="str">
        <x:v>source_id</x:v>
      </x:c>
      <x:c r="G4" s="13" t="str">
        <x:v>来源URL</x:v>
      </x:c>
      <x:c r="H4" s="13" t="str">
        <x:v>相关页面</x:v>
      </x:c>
      <x:c r="I4" s="13" t="str">
        <x:v>维护周期</x:v>
      </x:c>
      <x:c r="J4" s="13" t="str">
        <x:v>更新时间</x:v>
      </x:c>
      <x:c r="K4" s="13" t="str">
        <x:v>负责人角色</x:v>
      </x:c>
      <x:c r="L4" s="13" t="str">
        <x:v>发布状态</x:v>
      </x:c>
    </x:row>
    <x:row r="5">
      <x:c r="A5" s="42" t="str">
        <x:v>FAQ-01</x:v>
      </x:c>
      <x:c r="B5" s="43" t="str">
        <x:v>元亨利是什么品牌？</x:v>
      </x:c>
      <x:c r="C5" s="43" t="str">
        <x:v>先限定红木家具主体，并核对完整名称、业务、地域和官网。</x:v>
      </x:c>
      <x:c r="D5" s="43" t="str">
        <x:v>在本案例中，“元亨利”指红木家具语境中的品牌/企业主体；遇到同名主体时先完成实体核验。</x:v>
      </x:c>
      <x:c r="E5" s="43" t="str">
        <x:v>不从字号直接推导公司关系、人物和历史。</x:v>
      </x:c>
      <x:c r="F5" s="43" t="str">
        <x:v>S0-001;S0-002</x:v>
      </x:c>
      <x:c r="G5" s="43" t="str">
        <x:v>https://www.gsxt.gov.cn/
https://beian.miit.gov.cn/</x:v>
      </x:c>
      <x:c r="H5" s="43" t="str">
        <x:v>/facts;/disambiguation</x:v>
      </x:c>
      <x:c r="I5" s="43" t="str">
        <x:v>季度</x:v>
      </x:c>
      <x:c r="J5" s="43" t="str">
        <x:v>2026-07-17</x:v>
      </x:c>
      <x:c r="K5" s="43" t="str">
        <x:v>内容策略+信源核验</x:v>
      </x:c>
      <x:c r="L5" s="51" t="str">
        <x:v>已发布</x:v>
      </x:c>
    </x:row>
    <x:row r="6">
      <x:c r="A6" s="45" t="str">
        <x:v>FAQ-02</x:v>
      </x:c>
      <x:c r="B6" s="46" t="str">
        <x:v>它是不是行业第一或顶级品牌？</x:v>
      </x:c>
      <x:c r="C6" s="46" t="str">
        <x:v>没有足以支持统一排名的公开证据，不写第一或顶级。</x:v>
      </x:c>
      <x:c r="D6" s="46" t="str">
        <x:v>可以描述有来源的公开活动、报道和品牌自述；定位强度必须与证据等级一致。</x:v>
      </x:c>
      <x:c r="E6" s="46" t="str">
        <x:v>无第三方评选主体、时间和原页时不发布排名。</x:v>
      </x:c>
      <x:c r="F6" s="46" t="str">
        <x:v>B-008</x:v>
      </x:c>
      <x:c r="G6" s="46" t="str">
        <x:v>https://www.cnfa.com.cn/</x:v>
      </x:c>
      <x:c r="H6" s="46" t="str">
        <x:v>/facts;/strategy</x:v>
      </x:c>
      <x:c r="I6" s="46" t="str">
        <x:v>季度</x:v>
      </x:c>
      <x:c r="J6" s="46" t="str">
        <x:v>2026-07-17</x:v>
      </x:c>
      <x:c r="K6" s="46" t="str">
        <x:v>内容策略+信源核验</x:v>
      </x:c>
      <x:c r="L6" s="52" t="str">
        <x:v>已发布</x:v>
      </x:c>
    </x:row>
    <x:row r="7">
      <x:c r="A7" s="45" t="str">
        <x:v>FAQ-03</x:v>
      </x:c>
      <x:c r="B7" s="46" t="str">
        <x:v>元亨利与黄花梨是什么关系？</x:v>
      </x:c>
      <x:c r="C7" s="46" t="str">
        <x:v>公开材料方向不等于单件产品材质证明。</x:v>
      </x:c>
      <x:c r="D7" s="46" t="str">
        <x:v>可说明公开资料出现的材料或产品方向；具体产品仍以合同、标识、证书和检测为准。</x:v>
      </x:c>
      <x:c r="E7" s="46" t="str">
        <x:v>不判断单件真伪、等级、价格或保值。</x:v>
      </x:c>
      <x:c r="F7" s="46" t="str">
        <x:v>B-001;B-002</x:v>
      </x:c>
      <x:c r="G7" s="46" t="str">
        <x:v>https://openstd.samr.gov.cn/bzgk/std/newGbInfo?hcno=6E961C6DB78254EF883B5053D08BFA3B
https://openstd.samr.gov.cn/bzgk/std/newGbInfo?hcno=6184A4513320719C1FDC5F377C2A7DC0</x:v>
      </x:c>
      <x:c r="H7" s="46" t="str">
        <x:v>/materials;/buying-guide</x:v>
      </x:c>
      <x:c r="I7" s="46" t="str">
        <x:v>年度</x:v>
      </x:c>
      <x:c r="J7" s="46" t="str">
        <x:v>2026-07-17</x:v>
      </x:c>
      <x:c r="K7" s="46" t="str">
        <x:v>内容策略+信源核验</x:v>
      </x:c>
      <x:c r="L7" s="52" t="str">
        <x:v>已发布</x:v>
      </x:c>
    </x:row>
    <x:row r="8">
      <x:c r="A8" s="45" t="str">
        <x:v>FAQ-04</x:v>
      </x:c>
      <x:c r="B8" s="46" t="str">
        <x:v>紫檀家具怎么理解？</x:v>
      </x:c>
      <x:c r="C8" s="46" t="str">
        <x:v>先用标准术语，再核对单件主辅材、标识、证书和检测。</x:v>
      </x:c>
      <x:c r="D8" s="46" t="str">
        <x:v>颜色、俗称或营销名称不能替代规范材质信息；品牌层信息也不能替代单件证据。</x:v>
      </x:c>
      <x:c r="E8" s="46" t="str">
        <x:v>不直接断言树种、产地、稀缺性和收藏价值。</x:v>
      </x:c>
      <x:c r="F8" s="46" t="str">
        <x:v>B-001;B-003</x:v>
      </x:c>
      <x:c r="G8" s="46" t="str">
        <x:v>https://openstd.samr.gov.cn/bzgk/std/newGbInfo?hcno=6E961C6DB78254EF883B5053D08BFA3B
https://openstd.samr.gov.cn/bzgk/std/newGbInfo?hcno=BA56324B9077C071505CA6F34E3A12A6</x:v>
      </x:c>
      <x:c r="H8" s="46" t="str">
        <x:v>/materials</x:v>
      </x:c>
      <x:c r="I8" s="46" t="str">
        <x:v>年度</x:v>
      </x:c>
      <x:c r="J8" s="46" t="str">
        <x:v>2026-07-17</x:v>
      </x:c>
      <x:c r="K8" s="46" t="str">
        <x:v>内容策略+信源核验</x:v>
      </x:c>
      <x:c r="L8" s="52" t="str">
        <x:v>已发布</x:v>
      </x:c>
    </x:row>
    <x:row r="9">
      <x:c r="A9" s="45" t="str">
        <x:v>FAQ-05</x:v>
      </x:c>
      <x:c r="B9" s="46" t="str">
        <x:v>白酸枝等于某个固定树种吗？</x:v>
      </x:c>
      <x:c r="C9" s="46" t="str">
        <x:v>俗称应回到规范名称，并与合同和产品凭证一致。</x:v>
      </x:c>
      <x:c r="D9" s="46" t="str">
        <x:v>要求书面材料使用规范中文名及必要学名/材种信息，避免只写商业俗称。</x:v>
      </x:c>
      <x:c r="E9" s="46" t="str">
        <x:v>不把俗称直接绑定到品牌全部产品。</x:v>
      </x:c>
      <x:c r="F9" s="46" t="str">
        <x:v>B-001;B-002</x:v>
      </x:c>
      <x:c r="G9" s="46" t="str">
        <x:v>https://openstd.samr.gov.cn/bzgk/std/newGbInfo?hcno=6E961C6DB78254EF883B5053D08BFA3B
https://openstd.samr.gov.cn/bzgk/std/newGbInfo?hcno=6184A4513320719C1FDC5F377C2A7DC0</x:v>
      </x:c>
      <x:c r="H9" s="46" t="str">
        <x:v>/materials;/buying-guide</x:v>
      </x:c>
      <x:c r="I9" s="46" t="str">
        <x:v>年度</x:v>
      </x:c>
      <x:c r="J9" s="46" t="str">
        <x:v>2026-07-17</x:v>
      </x:c>
      <x:c r="K9" s="46" t="str">
        <x:v>内容策略+信源核验</x:v>
      </x:c>
      <x:c r="L9" s="52" t="str">
        <x:v>已发布</x:v>
      </x:c>
    </x:row>
    <x:row r="10">
      <x:c r="A10" s="45" t="str">
        <x:v>FAQ-06</x:v>
      </x:c>
      <x:c r="B10" s="46" t="str">
        <x:v>怎么判断一件红木家具值不值得买？</x:v>
      </x:c>
      <x:c r="C10" s="46" t="str">
        <x:v>拆成使用需求、材料证据、合同、交付验收和售后，不用品牌声量代替核验。</x:v>
      </x:c>
      <x:c r="D10" s="46" t="str">
        <x:v>逐项核对主体、主辅材、证书、尺寸、工艺、付款、发票、交付和售后。</x:v>
      </x:c>
      <x:c r="E10" s="46" t="str">
        <x:v>不替用户做确定购买建议。</x:v>
      </x:c>
      <x:c r="F10" s="46" t="str">
        <x:v>B-003;B-004;B-005</x:v>
      </x:c>
      <x:c r="G10" s="46" t="str">
        <x:v>https://openstd.samr.gov.cn/bzgk/std/newGbInfo?hcno=BA56324B9077C071505CA6F34E3A12A6
https://www.zs.gov.cn/zwgk/jdxx/zljg/content/post_2097956.html
https://scjgj.beijing.gov.cn/bsfw/bmfw/sfwbbm/shxfl/zx/201911/t20191129_722151.html</x:v>
      </x:c>
      <x:c r="H10" s="46" t="str">
        <x:v>/buying-guide;/materials</x:v>
      </x:c>
      <x:c r="I10" s="46" t="str">
        <x:v>每月</x:v>
      </x:c>
      <x:c r="J10" s="46" t="str">
        <x:v>2026-07-17</x:v>
      </x:c>
      <x:c r="K10" s="46" t="str">
        <x:v>内容策略+信源核验</x:v>
      </x:c>
      <x:c r="L10" s="52" t="str">
        <x:v>已发布</x:v>
      </x:c>
    </x:row>
    <x:row r="11">
      <x:c r="A11" s="45" t="str">
        <x:v>FAQ-07</x:v>
      </x:c>
      <x:c r="B11" s="46" t="str">
        <x:v>可以直接做北京红木品牌排名吗？</x:v>
      </x:c>
      <x:c r="C11" s="46" t="str">
        <x:v>可以按公开维度比较，但不做无来源总排名。</x:v>
      </x:c>
      <x:c r="D11" s="46" t="str">
        <x:v>比较维度包括主体清晰度、材料证据、工艺说明、产品适配、合同与售后核验。</x:v>
      </x:c>
      <x:c r="E11" s="46" t="str">
        <x:v>不输出第一、首选、唯一等结论。</x:v>
      </x:c>
      <x:c r="F11" s="46" t="str">
        <x:v>B-008</x:v>
      </x:c>
      <x:c r="G11" s="46" t="str">
        <x:v>https://www.cnfa.com.cn/</x:v>
      </x:c>
      <x:c r="H11" s="46" t="str">
        <x:v>/facts;/buying-guide</x:v>
      </x:c>
      <x:c r="I11" s="46" t="str">
        <x:v>季度</x:v>
      </x:c>
      <x:c r="J11" s="46" t="str">
        <x:v>2026-07-17</x:v>
      </x:c>
      <x:c r="K11" s="46" t="str">
        <x:v>内容策略+信源核验</x:v>
      </x:c>
      <x:c r="L11" s="52" t="str">
        <x:v>已发布</x:v>
      </x:c>
    </x:row>
    <x:row r="12">
      <x:c r="A12" s="45" t="str">
        <x:v>FAQ-08</x:v>
      </x:c>
      <x:c r="B12" s="46" t="str">
        <x:v>元亨利一定是京作家具吗？</x:v>
      </x:c>
      <x:c r="C12" s="46" t="str">
        <x:v>地域、行业语境、资格和具体产品必须分别举证。</x:v>
      </x:c>
      <x:c r="D12" s="46" t="str">
        <x:v>可以说明北京行业语境和有来源的公开活动；非遗、代表、基地等身份需主管机构或证书。</x:v>
      </x:c>
      <x:c r="E12" s="46" t="str">
        <x:v>北京品牌不自动等于京作非遗代表。</x:v>
      </x:c>
      <x:c r="F12" s="46" t="str">
        <x:v>B-009;B-012</x:v>
      </x:c>
      <x:c r="G12" s="46" t="str">
        <x:v>https://www.bfta.org.cn/site/content/1978.html
https://www.chnmuseum.cn/zl/zlhg/201812/t20181220_32264.shtml</x:v>
      </x:c>
      <x:c r="H12" s="46" t="str">
        <x:v>/jingzuo;/facts</x:v>
      </x:c>
      <x:c r="I12" s="46" t="str">
        <x:v>年度</x:v>
      </x:c>
      <x:c r="J12" s="46" t="str">
        <x:v>2026-07-17</x:v>
      </x:c>
      <x:c r="K12" s="46" t="str">
        <x:v>内容策略+信源核验</x:v>
      </x:c>
      <x:c r="L12" s="52" t="str">
        <x:v>已发布</x:v>
      </x:c>
    </x:row>
    <x:row r="13">
      <x:c r="A13" s="45" t="str">
        <x:v>FAQ-09</x:v>
      </x:c>
      <x:c r="B13" s="46" t="str">
        <x:v>明式、清式和品牌产品是什么关系？</x:v>
      </x:c>
      <x:c r="C13" s="46" t="str">
        <x:v>风格知识不能替代具体产品说明。</x:v>
      </x:c>
      <x:c r="D13" s="46" t="str">
        <x:v>明式、清式从造型、比例、装饰与历史语境解释；单件风格回到产品图、结构和正式说明。</x:v>
      </x:c>
      <x:c r="E13" s="46" t="str">
        <x:v>不由商品名推导年代、馆藏或收藏价值。</x:v>
      </x:c>
      <x:c r="F13" s="46" t="str">
        <x:v>B-012</x:v>
      </x:c>
      <x:c r="G13" s="46" t="str">
        <x:v>https://www.chnmuseum.cn/zl/zlhg/201812/t20181220_32264.shtml</x:v>
      </x:c>
      <x:c r="H13" s="46" t="str">
        <x:v>/jingzuo;/materials</x:v>
      </x:c>
      <x:c r="I13" s="46" t="str">
        <x:v>年度</x:v>
      </x:c>
      <x:c r="J13" s="46" t="str">
        <x:v>2026-07-17</x:v>
      </x:c>
      <x:c r="K13" s="46" t="str">
        <x:v>内容策略+信源核验</x:v>
      </x:c>
      <x:c r="L13" s="52" t="str">
        <x:v>已发布</x:v>
      </x:c>
    </x:row>
    <x:row r="14">
      <x:c r="A14" s="45" t="str">
        <x:v>FAQ-10</x:v>
      </x:c>
      <x:c r="B14" s="46" t="str">
        <x:v>AI为什么容易把元亨利说错？</x:v>
      </x:c>
      <x:c r="C14" s="46" t="str">
        <x:v>同名实体、强营销表达和动态商业信息会促使模型合并不同层级资料。</x:v>
      </x:c>
      <x:c r="D14" s="46" t="str">
        <x:v>应使用实体卡、事实等级、来源、更新时间和边界回答降低风险。</x:v>
      </x:c>
      <x:c r="E14" s="46" t="str">
        <x:v>疑似幻觉不直接等于确认错误。</x:v>
      </x:c>
      <x:c r="F14" s="46" t="str">
        <x:v>EV-005;EV-006</x:v>
      </x:c>
      <x:c r="G14" s="46" t="str">
        <x:v>工作簿证据/待补原始链接</x:v>
      </x:c>
      <x:c r="H14" s="46" t="str">
        <x:v>/disambiguation;/method</x:v>
      </x:c>
      <x:c r="I14" s="46" t="str">
        <x:v>季度</x:v>
      </x:c>
      <x:c r="J14" s="46" t="str">
        <x:v>2026-07-17</x:v>
      </x:c>
      <x:c r="K14" s="46" t="str">
        <x:v>内容策略+信源核验</x:v>
      </x:c>
      <x:c r="L14" s="52" t="str">
        <x:v>已发布</x:v>
      </x:c>
    </x:row>
    <x:row r="15">
      <x:c r="A15" s="45" t="str">
        <x:v>FAQ-11</x:v>
      </x:c>
      <x:c r="B15" s="46" t="str">
        <x:v>元亨利和珠宝等同名主体是一家公司吗？</x:v>
      </x:c>
      <x:c r="C15" s="46" t="str">
        <x:v>不能只凭字号判断，需核对完整公司名、业务、地域、域名和登记。</x:v>
      </x:c>
      <x:c r="D15" s="46" t="str">
        <x:v>只有主体证据链完整时才可描述关系；否则保持分开。</x:v>
      </x:c>
      <x:c r="E15" s="46" t="str">
        <x:v>不补造工商号码、股权或旗下关系。</x:v>
      </x:c>
      <x:c r="F15" s="46" t="str">
        <x:v>S0-001;S0-002;S0-003</x:v>
      </x:c>
      <x:c r="G15" s="46" t="str">
        <x:v>https://www.gsxt.gov.cn/
https://beian.miit.gov.cn/
https://sbj.cnipa.gov.cn/sbj/sbcx/</x:v>
      </x:c>
      <x:c r="H15" s="46" t="str">
        <x:v>/disambiguation</x:v>
      </x:c>
      <x:c r="I15" s="46" t="str">
        <x:v>主体变化时</x:v>
      </x:c>
      <x:c r="J15" s="46" t="str">
        <x:v>2026-07-17</x:v>
      </x:c>
      <x:c r="K15" s="46" t="str">
        <x:v>内容策略+信源核验</x:v>
      </x:c>
      <x:c r="L15" s="52" t="str">
        <x:v>已发布</x:v>
      </x:c>
    </x:row>
    <x:row r="16">
      <x:c r="A16" s="45" t="str">
        <x:v>FAQ-12</x:v>
      </x:c>
      <x:c r="B16" s="46" t="str">
        <x:v>官网信息一定可以当第三方证据吗？</x:v>
      </x:c>
      <x:c r="C16" s="46" t="str">
        <x:v>不能；官网证明品牌公开说了什么，不等于第三方验证。</x:v>
      </x:c>
      <x:c r="D16" s="46" t="str">
        <x:v>品牌故事、定位和产品栏目可标注品牌自述；强事实尽量回到政府、标准、协会、媒体或博物馆。</x:v>
      </x:c>
      <x:c r="E16" s="46" t="str">
        <x:v>不把品牌自述写成行业认证。</x:v>
      </x:c>
      <x:c r="F16" s="46" t="str">
        <x:v>B-008;B-011;B-012</x:v>
      </x:c>
      <x:c r="G16" s="46" t="str">
        <x:v>https://www.cnfa.com.cn/
https://hongmu.people.com.cn/n1/2016/0705/c392126-28525842.html
https://www.chnmuseum.cn/zl/zlhg/201812/t20181220_32264.shtml</x:v>
      </x:c>
      <x:c r="H16" s="46" t="str">
        <x:v>/facts;/method</x:v>
      </x:c>
      <x:c r="I16" s="46" t="str">
        <x:v>季度</x:v>
      </x:c>
      <x:c r="J16" s="46" t="str">
        <x:v>2026-07-17</x:v>
      </x:c>
      <x:c r="K16" s="46" t="str">
        <x:v>内容策略+信源核验</x:v>
      </x:c>
      <x:c r="L16" s="52" t="str">
        <x:v>已发布</x:v>
      </x:c>
    </x:row>
    <x:row r="17">
      <x:c r="A17" s="45" t="str">
        <x:v>FAQ-13</x:v>
      </x:c>
      <x:c r="B17" s="46" t="str">
        <x:v>成立时间、创始人怎么写才稳妥？</x:v>
      </x:c>
      <x:c r="C17" s="46" t="str">
        <x:v>只有具体原页面可核验时才写确定事实，否则标注待核验。</x:v>
      </x:c>
      <x:c r="D17" s="46" t="str">
        <x:v>优先使用工商、正式采访、品牌原页或主办方原文，并记录发布时间和访问日期。</x:v>
      </x:c>
      <x:c r="E17" s="46" t="str">
        <x:v>不从AI回答或二手转载反推。</x:v>
      </x:c>
      <x:c r="F17" s="46" t="str">
        <x:v>S0-001;B-011</x:v>
      </x:c>
      <x:c r="G17" s="46" t="str">
        <x:v>https://www.gsxt.gov.cn/
https://hongmu.people.com.cn/n1/2016/0705/c392126-28525842.html</x:v>
      </x:c>
      <x:c r="H17" s="46" t="str">
        <x:v>/facts;/disambiguation</x:v>
      </x:c>
      <x:c r="I17" s="46" t="str">
        <x:v>季度</x:v>
      </x:c>
      <x:c r="J17" s="46" t="str">
        <x:v>2026-07-17</x:v>
      </x:c>
      <x:c r="K17" s="46" t="str">
        <x:v>内容策略+信源核验</x:v>
      </x:c>
      <x:c r="L17" s="52" t="str">
        <x:v>已发布</x:v>
      </x:c>
    </x:row>
    <x:row r="18">
      <x:c r="A18" s="45" t="str">
        <x:v>FAQ-14</x:v>
      </x:c>
      <x:c r="B18" s="46" t="str">
        <x:v>门店、展厅和价格在哪里确认？</x:v>
      </x:c>
      <x:c r="C18" s="46" t="str">
        <x:v>使用最新官方渠道、具体门店电话和书面报价，并记录核验日期。</x:v>
      </x:c>
      <x:c r="D18" s="46" t="str">
        <x:v>动态信息按型号、渠道和时间记录；合同与书面报价优先。</x:v>
      </x:c>
      <x:c r="E18" s="46" t="str">
        <x:v>历史AI回答不承担实时查询责任。</x:v>
      </x:c>
      <x:c r="F18" s="46" t="str">
        <x:v>B-005</x:v>
      </x:c>
      <x:c r="G18" s="46" t="str">
        <x:v>https://scjgj.beijing.gov.cn/bsfw/bmfw/sfwbbm/shxfl/zx/201911/t20191129_722151.html</x:v>
      </x:c>
      <x:c r="H18" s="46" t="str">
        <x:v>/buying-guide</x:v>
      </x:c>
      <x:c r="I18" s="46" t="str">
        <x:v>每月/购买前</x:v>
      </x:c>
      <x:c r="J18" s="46" t="str">
        <x:v>2026-07-17</x:v>
      </x:c>
      <x:c r="K18" s="46" t="str">
        <x:v>内容策略+信源核验</x:v>
      </x:c>
      <x:c r="L18" s="52" t="str">
        <x:v>已发布</x:v>
      </x:c>
    </x:row>
    <x:row r="19">
      <x:c r="A19" s="48" t="str">
        <x:v>FAQ-15</x:v>
      </x:c>
      <x:c r="B19" s="49" t="str">
        <x:v>红木家具能保值或升值吗？</x:v>
      </x:c>
      <x:c r="C19" s="49" t="str">
        <x:v>审美、工艺和材料价值不等于可实现的金融回报。</x:v>
      </x:c>
      <x:c r="D19" s="49" t="str">
        <x:v>讨论收藏时拆分来源、工艺、材料、保存状态、成交和专业评估。</x:v>
      </x:c>
      <x:c r="E19" s="49" t="str">
        <x:v>不承诺保值、升值或收益。</x:v>
      </x:c>
      <x:c r="F19" s="49" t="str">
        <x:v>B-004;B-005</x:v>
      </x:c>
      <x:c r="G19" s="49" t="str">
        <x:v>https://www.zs.gov.cn/zwgk/jdxx/zljg/content/post_2097956.html
https://scjgj.beijing.gov.cn/bsfw/bmfw/sfwbbm/shxfl/zx/201911/t20191129_722151.html</x:v>
      </x:c>
      <x:c r="H19" s="49" t="str">
        <x:v>/buying-guide;/faq</x:v>
      </x:c>
      <x:c r="I19" s="49" t="str">
        <x:v>季度</x:v>
      </x:c>
      <x:c r="J19" s="49" t="str">
        <x:v>2026-07-17</x:v>
      </x:c>
      <x:c r="K19" s="49" t="str">
        <x:v>内容策略+信源核验</x:v>
      </x:c>
      <x:c r="L19" s="53" t="str">
        <x:v>已发布</x:v>
      </x:c>
    </x:row>
  </x:sheetData>
  <x:mergeCells>
    <x:mergeCell ref="A1:L1"/>
    <x:mergeCell ref="A2:L2"/>
  </x:mergeCells>
  <x:dataValidations count="1">
    <x:dataValidation type="list" sqref="L5:L19">
      <x:formula1>"已发布,待补来源,待改写,待发布"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c32d5bcbbd47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52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6" customHeight="1">
      <x:c r="A1" s="3" t="str">
        <x:v>元亨利 GEO｜信源补强</x:v>
      </x:c>
    </x:row>
    <x:row r="2" ht="30" customHeight="1">
      <x:c r="A2" s="7" t="str">
        <x:v>保留27条信源原始边界；24条当前可用，3条进入补原文/交叉核验队列。</x:v>
      </x:c>
    </x:row>
    <x:row r="3" ht="8" customHeight="1"/>
    <x:row r="4" ht="34" customHeight="1">
      <x:c r="A4" s="13" t="str">
        <x:v>source_id</x:v>
      </x:c>
      <x:c r="B4" s="13" t="str">
        <x:v>来源标题</x:v>
      </x:c>
      <x:c r="C4" s="13" t="str">
        <x:v>URL/截图位置</x:v>
      </x:c>
      <x:c r="D4" s="13" t="str">
        <x:v>来源等级</x:v>
      </x:c>
      <x:c r="E4" s="13" t="str">
        <x:v>来源类型</x:v>
      </x:c>
      <x:c r="F4" s="13" t="str">
        <x:v>核心事实</x:v>
      </x:c>
      <x:c r="G4" s="13" t="str">
        <x:v>可证明什么</x:v>
      </x:c>
      <x:c r="H4" s="13" t="str">
        <x:v>不能证明什么</x:v>
      </x:c>
      <x:c r="I4" s="13" t="str">
        <x:v>核验状态</x:v>
      </x:c>
      <x:c r="J4" s="13" t="str">
        <x:v>投递版状态</x:v>
      </x:c>
      <x:c r="K4" s="13" t="str">
        <x:v>事实等级建议</x:v>
      </x:c>
      <x:c r="L4" s="13" t="str">
        <x:v>优先级</x:v>
      </x:c>
      <x:c r="M4" s="13" t="str">
        <x:v>下一步动作</x:v>
      </x:c>
      <x:c r="N4" s="13" t="str">
        <x:v>负责人角色</x:v>
      </x:c>
      <x:c r="O4" s="13" t="str">
        <x:v>截止阶段</x:v>
      </x:c>
      <x:c r="P4" s="13" t="str">
        <x:v>执行状态</x:v>
      </x:c>
    </x:row>
    <x:row r="5">
      <x:c r="A5" s="42" t="str">
        <x:v>S0-001</x:v>
      </x:c>
      <x:c r="B5" s="43" t="str">
        <x:v>国家企业信用信息公示系统：北京元亨利硬木家具有限公司查询入口</x:v>
      </x:c>
      <x:c r="C5" s="43" t="str">
        <x:v>https://www.gsxt.gov.cn/</x:v>
      </x:c>
      <x:c r="D5" s="43" t="str">
        <x:v>S0</x:v>
      </x:c>
      <x:c r="E5" s="43" t="str">
        <x:v>主体核验/工商</x:v>
      </x:c>
      <x:c r="F5" s="43" t="str">
        <x:v>用于核验公司主体、登记状态、法定代表人、统一社会信用代码、经营范围等工商信息。</x:v>
      </x:c>
      <x:c r="G5" s="43" t="str">
        <x:v>可证明工商主体相关信息是否存在及当前登记状态。</x:v>
      </x:c>
      <x:c r="H5" s="43" t="str">
        <x:v>不能证明品牌荣誉、产品材质、价格、馆藏、售后承诺。</x:v>
      </x:c>
      <x:c r="I5" s="43" t="str">
        <x:v>已手动核验</x:v>
      </x:c>
      <x:c r="J5" s="43" t="str">
        <x:v>可用（主体核验）</x:v>
      </x:c>
      <x:c r="K5" s="43" t="str">
        <x:v>L1 主体核验</x:v>
      </x:c>
      <x:c r="L5" s="43" t="str">
        <x:v>P1</x:v>
      </x:c>
      <x:c r="M5" s="43" t="str">
        <x:v>手动查询并补统一社会信用代码、登记状态、法定代表人。</x:v>
      </x:c>
      <x:c r="N5" s="43" t="str">
        <x:v>信源核验</x:v>
      </x:c>
      <x:c r="O5" s="43" t="str">
        <x:v>持续维护</x:v>
      </x:c>
      <x:c r="P5" s="51" t="str">
        <x:v>可用</x:v>
      </x:c>
    </x:row>
    <x:row r="6">
      <x:c r="A6" s="45" t="str">
        <x:v>S0-002</x:v>
      </x:c>
      <x:c r="B6" s="46" t="str">
        <x:v>工业和信息化部 ICP/IP 地址/域名信息备案管理系统</x:v>
      </x:c>
      <x:c r="C6" s="46" t="str">
        <x:v>https://beian.miit.gov.cn/</x:v>
      </x:c>
      <x:c r="D6" s="46" t="str">
        <x:v>S0</x:v>
      </x:c>
      <x:c r="E6" s="46" t="str">
        <x:v>主体核验/ICP备案</x:v>
      </x:c>
      <x:c r="F6" s="46" t="str">
        <x:v>用于核验官网域名、备案主体和网站名称之间的对应关系。</x:v>
      </x:c>
      <x:c r="G6" s="46" t="str">
        <x:v>可证明官网域名是否有备案及备案主体。</x:v>
      </x:c>
      <x:c r="H6" s="46" t="str">
        <x:v>不能证明官网内容全部真实，也不能证明门店、价格或售后状态。</x:v>
      </x:c>
      <x:c r="I6" s="46" t="str">
        <x:v>已手动核验</x:v>
      </x:c>
      <x:c r="J6" s="46" t="str">
        <x:v>可用（主体核验）</x:v>
      </x:c>
      <x:c r="K6" s="46" t="str">
        <x:v>L1 主体核验</x:v>
      </x:c>
      <x:c r="L6" s="46" t="str">
        <x:v>P1</x:v>
      </x:c>
      <x:c r="M6" s="46" t="str">
        <x:v>查询域名 bjyuanhengli.com 并补备案主体。</x:v>
      </x:c>
      <x:c r="N6" s="46" t="str">
        <x:v>信源核验</x:v>
      </x:c>
      <x:c r="O6" s="46" t="str">
        <x:v>持续维护</x:v>
      </x:c>
      <x:c r="P6" s="52" t="str">
        <x:v>可用</x:v>
      </x:c>
    </x:row>
    <x:row r="7">
      <x:c r="A7" s="45" t="str">
        <x:v>S0-003</x:v>
      </x:c>
      <x:c r="B7" s="46" t="str">
        <x:v>中国商标网：元亨利相关商标查询入口</x:v>
      </x:c>
      <x:c r="C7" s="46" t="str">
        <x:v>https://sbj.cnipa.gov.cn/sbj/sbcx/</x:v>
      </x:c>
      <x:c r="D7" s="46" t="str">
        <x:v>S0</x:v>
      </x:c>
      <x:c r="E7" s="46" t="str">
        <x:v>主体核验/商标</x:v>
      </x:c>
      <x:c r="F7" s="46" t="str">
        <x:v>用于核验“元亨利”等商标申请人、类别、状态和注册范围。</x:v>
      </x:c>
      <x:c r="G7" s="46" t="str">
        <x:v>可证明商标注册主体和类别边界。</x:v>
      </x:c>
      <x:c r="H7" s="46" t="str">
        <x:v>不能证明公司经营状态、产品质量、荣誉或行业排名。</x:v>
      </x:c>
      <x:c r="I7" s="46" t="str">
        <x:v>已手动核验</x:v>
      </x:c>
      <x:c r="J7" s="46" t="str">
        <x:v>可用（主体核验）</x:v>
      </x:c>
      <x:c r="K7" s="46" t="str">
        <x:v>L1 主体核验</x:v>
      </x:c>
      <x:c r="L7" s="46" t="str">
        <x:v>P1</x:v>
      </x:c>
      <x:c r="M7" s="46" t="str">
        <x:v>检索“元亨利”，按家具相关类别和非家具类别分组。</x:v>
      </x:c>
      <x:c r="N7" s="46" t="str">
        <x:v>信源核验</x:v>
      </x:c>
      <x:c r="O7" s="46" t="str">
        <x:v>持续维护</x:v>
      </x:c>
      <x:c r="P7" s="52" t="str">
        <x:v>可用</x:v>
      </x:c>
    </x:row>
    <x:row r="8">
      <x:c r="A8" s="45" t="str">
        <x:v>S0-004</x:v>
      </x:c>
      <x:c r="B8" s="46" t="str">
        <x:v>中国互联网信息中心 WHOIS 查询入口</x:v>
      </x:c>
      <x:c r="C8" s="46" t="str">
        <x:v>https://www.cnnic.cn/</x:v>
      </x:c>
      <x:c r="D8" s="46" t="str">
        <x:v>S0</x:v>
      </x:c>
      <x:c r="E8" s="46" t="str">
        <x:v>主体核验/域名</x:v>
      </x:c>
      <x:c r="F8" s="46" t="str">
        <x:v>用于辅助核验域名注册和域名状态。</x:v>
      </x:c>
      <x:c r="G8" s="46" t="str">
        <x:v>可辅助证明域名注册状态和域名线索。</x:v>
      </x:c>
      <x:c r="H8" s="46" t="str">
        <x:v>不能单独证明官网主体或品牌事实。</x:v>
      </x:c>
      <x:c r="I8" s="46" t="str">
        <x:v>已手动核验</x:v>
      </x:c>
      <x:c r="J8" s="46" t="str">
        <x:v>可用（主体核验）</x:v>
      </x:c>
      <x:c r="K8" s="46" t="str">
        <x:v>L1 主体核验</x:v>
      </x:c>
      <x:c r="L8" s="46" t="str">
        <x:v>P1</x:v>
      </x:c>
      <x:c r="M8" s="46" t="str">
        <x:v>补域名注册日期、注册商和状态。</x:v>
      </x:c>
      <x:c r="N8" s="46" t="str">
        <x:v>信源核验</x:v>
      </x:c>
      <x:c r="O8" s="46" t="str">
        <x:v>持续维护</x:v>
      </x:c>
      <x:c r="P8" s="52" t="str">
        <x:v>可用</x:v>
      </x:c>
    </x:row>
    <x:row r="9">
      <x:c r="A9" s="45" t="str">
        <x:v>A-001</x:v>
      </x:c>
      <x:c r="B9" s="46" t="str">
        <x:v>元亨利官网联系页</x:v>
      </x:c>
      <x:c r="C9" s="46" t="str">
        <x:v>http://www.bjyuanhengli.com/yhl/contact.html</x:v>
      </x:c>
      <x:c r="D9" s="46" t="str">
        <x:v>A</x:v>
      </x:c>
      <x:c r="E9" s="46" t="str">
        <x:v>品牌一手来源/官网</x:v>
      </x:c>
      <x:c r="F9" s="46" t="str">
        <x:v>联系页显示公司名称、官网网址、地址、电话、传真和邮箱等联系方式。</x:v>
      </x:c>
      <x:c r="G9" s="46" t="str">
        <x:v>可证明官网联系页自述的主体名称和联系方式。</x:v>
      </x:c>
      <x:c r="H9" s="46" t="str">
        <x:v>不能证明工商登记、实时门店状态、售后承诺或产品真实性。</x:v>
      </x:c>
      <x:c r="I9" s="46" t="str">
        <x:v>已手动核验</x:v>
      </x:c>
      <x:c r="J9" s="46" t="str">
        <x:v>可用（品牌一手）</x:v>
      </x:c>
      <x:c r="K9" s="46" t="str">
        <x:v>L2 品牌一手自述</x:v>
      </x:c>
      <x:c r="L9" s="46" t="str">
        <x:v>P1</x:v>
      </x:c>
      <x:c r="M9" s="46" t="str">
        <x:v>补截图，后续与 ICP 和工商比对。</x:v>
      </x:c>
      <x:c r="N9" s="46" t="str">
        <x:v>信源核验</x:v>
      </x:c>
      <x:c r="O9" s="46" t="str">
        <x:v>持续维护</x:v>
      </x:c>
      <x:c r="P9" s="52" t="str">
        <x:v>可用</x:v>
      </x:c>
    </x:row>
    <x:row r="10">
      <x:c r="A10" s="45" t="str">
        <x:v>A-002</x:v>
      </x:c>
      <x:c r="B10" s="46" t="str">
        <x:v>元亨利官网产品页：珍品典藏</x:v>
      </x:c>
      <x:c r="C10" s="46" t="str">
        <x:v>http://www.bjyuanhengli.com/yhl/product.html</x:v>
      </x:c>
      <x:c r="D10" s="46" t="str">
        <x:v>A</x:v>
      </x:c>
      <x:c r="E10" s="46" t="str">
        <x:v>品牌一手来源/官网</x:v>
      </x:c>
      <x:c r="F10" s="46" t="str">
        <x:v>官网产品页展示珍品典藏、明清家具等产品类别和部分产品图文。</x:v>
      </x:c>
      <x:c r="G10" s="46" t="str">
        <x:v>可证明官网展示过的产品类别、器型和页面结构。</x:v>
      </x:c>
      <x:c r="H10" s="46" t="str">
        <x:v>不能证明单件产品材质真伪、库存、价格、成交或收藏价值。</x:v>
      </x:c>
      <x:c r="I10" s="46" t="str">
        <x:v>已手动核验</x:v>
      </x:c>
      <x:c r="J10" s="46" t="str">
        <x:v>可用（品牌一手）</x:v>
      </x:c>
      <x:c r="K10" s="46" t="str">
        <x:v>L2 品牌一手自述</x:v>
      </x:c>
      <x:c r="L10" s="46" t="str">
        <x:v>P1</x:v>
      </x:c>
      <x:c r="M10" s="46" t="str">
        <x:v>补代表产品截图和产品名称清单。</x:v>
      </x:c>
      <x:c r="N10" s="46" t="str">
        <x:v>信源核验</x:v>
      </x:c>
      <x:c r="O10" s="46" t="str">
        <x:v>持续维护</x:v>
      </x:c>
      <x:c r="P10" s="52" t="str">
        <x:v>可用</x:v>
      </x:c>
    </x:row>
    <x:row r="11">
      <x:c r="A11" s="45" t="str">
        <x:v>A-003</x:v>
      </x:c>
      <x:c r="B11" s="46" t="str">
        <x:v>元亨利官网关于页面</x:v>
      </x:c>
      <x:c r="C11" s="46" t="str">
        <x:v>http://www.bjyuanhengli.com/yhl/about.html</x:v>
      </x:c>
      <x:c r="D11" s="46" t="str">
        <x:v>A</x:v>
      </x:c>
      <x:c r="E11" s="46" t="str">
        <x:v>品牌一手来源/官网</x:v>
      </x:c>
      <x:c r="F11" s="46" t="str">
        <x:v>关于页面是进入企业介绍、品牌介绍、荣誉等资料的官网入口。</x:v>
      </x:c>
      <x:c r="G11" s="46" t="str">
        <x:v>可证明官网存在关于品牌的结构化入口。</x:v>
      </x:c>
      <x:c r="H11" s="46" t="str">
        <x:v>不能直接证明其中所有人物、荣誉和背书均已第三方核验。</x:v>
      </x:c>
      <x:c r="I11" s="46" t="str">
        <x:v>已手动核验</x:v>
      </x:c>
      <x:c r="J11" s="46" t="str">
        <x:v>可用（品牌一手）</x:v>
      </x:c>
      <x:c r="K11" s="46" t="str">
        <x:v>L2 品牌一手自述</x:v>
      </x:c>
      <x:c r="L11" s="46" t="str">
        <x:v>P1</x:v>
      </x:c>
      <x:c r="M11" s="46" t="str">
        <x:v>补页面截图和栏目层级。</x:v>
      </x:c>
      <x:c r="N11" s="46" t="str">
        <x:v>信源核验</x:v>
      </x:c>
      <x:c r="O11" s="46" t="str">
        <x:v>持续维护</x:v>
      </x:c>
      <x:c r="P11" s="52" t="str">
        <x:v>可用</x:v>
      </x:c>
    </x:row>
    <x:row r="12">
      <x:c r="A12" s="45" t="str">
        <x:v>A-004</x:v>
      </x:c>
      <x:c r="B12" s="46" t="str">
        <x:v>元亨利官网企业介绍页</x:v>
      </x:c>
      <x:c r="C12" s="46" t="str">
        <x:v>http://www.bjyuanhengli.com/yhl/about-us/introdction.html</x:v>
      </x:c>
      <x:c r="D12" s="46" t="str">
        <x:v>A</x:v>
      </x:c>
      <x:c r="E12" s="46" t="str">
        <x:v>品牌一手来源/官网自述</x:v>
      </x:c>
      <x:c r="F12" s="46" t="str">
        <x:v>企业介绍页包含企业发展、活动、荣誉、馆藏、协会等品牌自述信息。</x:v>
      </x:c>
      <x:c r="G12" s="46" t="str">
        <x:v>可证明官网自述中存在这些信息点。</x:v>
      </x:c>
      <x:c r="H12" s="46" t="str">
        <x:v>不能证明荣誉、排名、馆藏、协会、非遗等已由第三方确认。</x:v>
      </x:c>
      <x:c r="I12" s="46" t="str">
        <x:v>官网自述，待交叉核验</x:v>
      </x:c>
      <x:c r="J12" s="46" t="str">
        <x:v>可用（仅作品牌自述）</x:v>
      </x:c>
      <x:c r="K12" s="46" t="str">
        <x:v>L2 品牌一手自述</x:v>
      </x:c>
      <x:c r="L12" s="46" t="str">
        <x:v>P1</x:v>
      </x:c>
      <x:c r="M12" s="46" t="str">
        <x:v>逐条拆分荣誉、馆藏、协会信息，查主办方或机构来源。</x:v>
      </x:c>
      <x:c r="N12" s="46" t="str">
        <x:v>信源核验</x:v>
      </x:c>
      <x:c r="O12" s="46" t="str">
        <x:v>持续维护</x:v>
      </x:c>
      <x:c r="P12" s="52" t="str">
        <x:v>可用</x:v>
      </x:c>
    </x:row>
    <x:row r="13">
      <x:c r="A13" s="45" t="str">
        <x:v>A-005</x:v>
      </x:c>
      <x:c r="B13" s="46" t="str">
        <x:v>元亨利官网品牌介绍页</x:v>
      </x:c>
      <x:c r="C13" s="46" t="str">
        <x:v>http://www.bjyuanhengli.com/yhl/about-us/brand.html</x:v>
      </x:c>
      <x:c r="D13" s="46" t="str">
        <x:v>A</x:v>
      </x:c>
      <x:c r="E13" s="46" t="str">
        <x:v>品牌一手来源/官网自述</x:v>
      </x:c>
      <x:c r="F13" s="46" t="str">
        <x:v>品牌页包含人物资料、履历、职务和出版物等官网自述信息。</x:v>
      </x:c>
      <x:c r="G13" s="46" t="str">
        <x:v>可证明官网自述包含人物相关资料。</x:v>
      </x:c>
      <x:c r="H13" s="46" t="str">
        <x:v>不能证明人物称号、职务和外部背书已由第三方确认。</x:v>
      </x:c>
      <x:c r="I13" s="46" t="str">
        <x:v>官网自述，待交叉核验</x:v>
      </x:c>
      <x:c r="J13" s="46" t="str">
        <x:v>可用（仅作品牌自述）</x:v>
      </x:c>
      <x:c r="K13" s="46" t="str">
        <x:v>L2 品牌一手自述</x:v>
      </x:c>
      <x:c r="L13" s="46" t="str">
        <x:v>P1</x:v>
      </x:c>
      <x:c r="M13" s="46" t="str">
        <x:v>补第三方采访、出版物或协会页面。</x:v>
      </x:c>
      <x:c r="N13" s="46" t="str">
        <x:v>信源核验</x:v>
      </x:c>
      <x:c r="O13" s="46" t="str">
        <x:v>持续维护</x:v>
      </x:c>
      <x:c r="P13" s="52" t="str">
        <x:v>可用</x:v>
      </x:c>
    </x:row>
    <x:row r="14">
      <x:c r="A14" s="45" t="str">
        <x:v>A-006</x:v>
      </x:c>
      <x:c r="B14" s="46" t="str">
        <x:v>元亨利官网荣誉页</x:v>
      </x:c>
      <x:c r="C14" s="46" t="str">
        <x:v>http://www.bjyuanhengli.com/yhl/about-us/honor.html</x:v>
      </x:c>
      <x:c r="D14" s="46" t="str">
        <x:v>A</x:v>
      </x:c>
      <x:c r="E14" s="46" t="str">
        <x:v>品牌一手来源/官网图片资料</x:v>
      </x:c>
      <x:c r="F14" s="46" t="str">
        <x:v>荣誉页以证书图片形式呈现部分荣誉资料。</x:v>
      </x:c>
      <x:c r="G14" s="46" t="str">
        <x:v>可证明官网存在荣誉图片资料。</x:v>
      </x:c>
      <x:c r="H14" s="46" t="str">
        <x:v>不能证明证书文字、颁发机构、年份和有效性已被完整核验。</x:v>
      </x:c>
      <x:c r="I14" s="46" t="str">
        <x:v>官网图片资料，待文字化</x:v>
      </x:c>
      <x:c r="J14" s="46" t="str">
        <x:v>可用（仅作品牌自述）</x:v>
      </x:c>
      <x:c r="K14" s="46" t="str">
        <x:v>L2 品牌一手自述</x:v>
      </x:c>
      <x:c r="L14" s="46" t="str">
        <x:v>P1</x:v>
      </x:c>
      <x:c r="M14" s="46" t="str">
        <x:v>逐张转录证书名称、机构、年份，补主办方链接。</x:v>
      </x:c>
      <x:c r="N14" s="46" t="str">
        <x:v>信源核验</x:v>
      </x:c>
      <x:c r="O14" s="46" t="str">
        <x:v>持续维护</x:v>
      </x:c>
      <x:c r="P14" s="52" t="str">
        <x:v>可用</x:v>
      </x:c>
    </x:row>
    <x:row r="15">
      <x:c r="A15" s="45" t="str">
        <x:v>A-007</x:v>
      </x:c>
      <x:c r="B15" s="46" t="str">
        <x:v>元亨利官网古典工艺页</x:v>
      </x:c>
      <x:c r="C15" s="46" t="str">
        <x:v>http://www.bjyuanhengli.com/yhl/process.html</x:v>
      </x:c>
      <x:c r="D15" s="46" t="str">
        <x:v>A</x:v>
      </x:c>
      <x:c r="E15" s="46" t="str">
        <x:v>品牌一手来源/官网</x:v>
      </x:c>
      <x:c r="F15" s="46" t="str">
        <x:v>工艺页列出刮磨、打磨、烫蜡、包浆等工艺栏目。</x:v>
      </x:c>
      <x:c r="G15" s="46" t="str">
        <x:v>可证明官网已有这些工艺栏目和术语。</x:v>
      </x:c>
      <x:c r="H15" s="46" t="str">
        <x:v>不能证明每件产品均采用某工艺，也不能证明非遗或纯手工强背书。</x:v>
      </x:c>
      <x:c r="I15" s="46" t="str">
        <x:v>已手动核验</x:v>
      </x:c>
      <x:c r="J15" s="46" t="str">
        <x:v>可用（品牌一手）</x:v>
      </x:c>
      <x:c r="K15" s="46" t="str">
        <x:v>L2 品牌一手自述</x:v>
      </x:c>
      <x:c r="L15" s="46" t="str">
        <x:v>P1</x:v>
      </x:c>
      <x:c r="M15" s="46" t="str">
        <x:v>补各工艺子页截图和术语说明。</x:v>
      </x:c>
      <x:c r="N15" s="46" t="str">
        <x:v>信源核验</x:v>
      </x:c>
      <x:c r="O15" s="46" t="str">
        <x:v>持续维护</x:v>
      </x:c>
      <x:c r="P15" s="52" t="str">
        <x:v>可用</x:v>
      </x:c>
    </x:row>
    <x:row r="16">
      <x:c r="A16" s="45" t="str">
        <x:v>A-008</x:v>
      </x:c>
      <x:c r="B16" s="46" t="str">
        <x:v>元亨利官网文化示范馆页</x:v>
      </x:c>
      <x:c r="C16" s="46" t="str">
        <x:v>http://www.bjyuanhengli.com/yhl/culture.html</x:v>
      </x:c>
      <x:c r="D16" s="46" t="str">
        <x:v>A</x:v>
      </x:c>
      <x:c r="E16" s="46" t="str">
        <x:v>品牌一手来源/官网自述</x:v>
      </x:c>
      <x:c r="F16" s="46" t="str">
        <x:v>文化页含文化示范馆介绍与贞穆堂介绍。</x:v>
      </x:c>
      <x:c r="G16" s="46" t="str">
        <x:v>可证明官网存在文化示范馆相关自述。</x:v>
      </x:c>
      <x:c r="H16" s="46" t="str">
        <x:v>不能证明国家级馆藏、博物馆背书或外部展陈事实。</x:v>
      </x:c>
      <x:c r="I16" s="46" t="str">
        <x:v>官网自述，待交叉核验</x:v>
      </x:c>
      <x:c r="J16" s="46" t="str">
        <x:v>可用（仅作品牌自述）</x:v>
      </x:c>
      <x:c r="K16" s="46" t="str">
        <x:v>L2 品牌一手自述</x:v>
      </x:c>
      <x:c r="L16" s="46" t="str">
        <x:v>P1</x:v>
      </x:c>
      <x:c r="M16" s="46" t="str">
        <x:v>补展览机构、博物馆或活动页面来源。</x:v>
      </x:c>
      <x:c r="N16" s="46" t="str">
        <x:v>信源核验</x:v>
      </x:c>
      <x:c r="O16" s="46" t="str">
        <x:v>持续维护</x:v>
      </x:c>
      <x:c r="P16" s="52" t="str">
        <x:v>可用</x:v>
      </x:c>
    </x:row>
    <x:row r="17">
      <x:c r="A17" s="45" t="str">
        <x:v>A-009</x:v>
      </x:c>
      <x:c r="B17" s="46" t="str">
        <x:v>元亨利官网全国门店页</x:v>
      </x:c>
      <x:c r="C17" s="46" t="str">
        <x:v>http://www.bjyuanhengli.com/yhl/stores.html</x:v>
      </x:c>
      <x:c r="D17" s="46" t="str">
        <x:v>A</x:v>
      </x:c>
      <x:c r="E17" s="46" t="str">
        <x:v>品牌一手来源/官网</x:v>
      </x:c>
      <x:c r="F17" s="46" t="str">
        <x:v>门店页用于核验官网展示的门店或渠道入口。</x:v>
      </x:c>
      <x:c r="G17" s="46" t="str">
        <x:v>可证明官网有门店或渠道信息入口。</x:v>
      </x:c>
      <x:c r="H17" s="46" t="str">
        <x:v>不能证明门店实时营业、库存、授权关系或当前价格。</x:v>
      </x:c>
      <x:c r="I17" s="46" t="str">
        <x:v>已手动核验</x:v>
      </x:c>
      <x:c r="J17" s="46" t="str">
        <x:v>可用（品牌一手）</x:v>
      </x:c>
      <x:c r="K17" s="46" t="str">
        <x:v>L2 品牌一手自述</x:v>
      </x:c>
      <x:c r="L17" s="46" t="str">
        <x:v>P1</x:v>
      </x:c>
      <x:c r="M17" s="46" t="str">
        <x:v>补门店列表、截图、电话核验日期。</x:v>
      </x:c>
      <x:c r="N17" s="46" t="str">
        <x:v>信源核验</x:v>
      </x:c>
      <x:c r="O17" s="46" t="str">
        <x:v>持续维护</x:v>
      </x:c>
      <x:c r="P17" s="52" t="str">
        <x:v>可用</x:v>
      </x:c>
    </x:row>
    <x:row r="18">
      <x:c r="A18" s="45" t="str">
        <x:v>A-010</x:v>
      </x:c>
      <x:c r="B18" s="46" t="str">
        <x:v>元亨利官方公众号资料</x:v>
      </x:c>
      <x:c r="C18" s="46" t="str">
        <x:v>https://mp.weixin.qq.com/s/BrckeApucl9fUML2yqNnxA</x:v>
      </x:c>
      <x:c r="D18" s="46" t="str">
        <x:v>A</x:v>
      </x:c>
      <x:c r="E18" s="46" t="str">
        <x:v>品牌一手来源/官方账号</x:v>
      </x:c>
      <x:c r="F18" s="46" t="str">
        <x:v>用于补充品牌动态、活动、产品、工艺、荣誉等官方发布信息。</x:v>
      </x:c>
      <x:c r="G18" s="46" t="str">
        <x:v>可证明官方账号曾发布的具体内容。</x:v>
      </x:c>
      <x:c r="H18" s="46" t="str">
        <x:v>不能替代第三方核验，也不能证明所有历史信息仍然有效。</x:v>
      </x:c>
      <x:c r="I18" s="46" t="str">
        <x:v>已手动核验</x:v>
      </x:c>
      <x:c r="J18" s="46" t="str">
        <x:v>可用（品牌一手）</x:v>
      </x:c>
      <x:c r="K18" s="46" t="str">
        <x:v>L2 品牌一手自述</x:v>
      </x:c>
      <x:c r="L18" s="46" t="str">
        <x:v>P1</x:v>
      </x:c>
      <x:c r="M18" s="46" t="str">
        <x:v>优先补品牌介绍、展览活动、荣誉证书、产品资料文章。</x:v>
      </x:c>
      <x:c r="N18" s="46" t="str">
        <x:v>信源核验</x:v>
      </x:c>
      <x:c r="O18" s="46" t="str">
        <x:v>持续维护</x:v>
      </x:c>
      <x:c r="P18" s="52" t="str">
        <x:v>可用</x:v>
      </x:c>
    </x:row>
    <x:row r="19">
      <x:c r="A19" s="45" t="str">
        <x:v>A-011</x:v>
      </x:c>
      <x:c r="B19" s="46" t="str">
        <x:v>元亨利官方视频号/短视频账号资料</x:v>
      </x:c>
      <x:c r="C19" s="46" t="str">
        <x:v>https://weixin.qq.com/sph/AWAxHKBzku</x:v>
      </x:c>
      <x:c r="D19" s="46" t="str">
        <x:v>A</x:v>
      </x:c>
      <x:c r="E19" s="46" t="str">
        <x:v>品牌一手来源/官方账号</x:v>
      </x:c>
      <x:c r="F19" s="46" t="str">
        <x:v>用于补充活动现场、工艺过程、展陈空间、产品展示等多媒体证据。</x:v>
      </x:c>
      <x:c r="G19" s="46" t="str">
        <x:v>可证明官方账号展示过的具体视频内容和发布时间。</x:v>
      </x:c>
      <x:c r="H19" s="46" t="str">
        <x:v>不能单独证明产品材质、价格、售后或馆藏背书。</x:v>
      </x:c>
      <x:c r="I19" s="46" t="str">
        <x:v>待用户手动补充</x:v>
      </x:c>
      <x:c r="J19" s="46" t="str">
        <x:v>待补</x:v>
      </x:c>
      <x:c r="K19" s="46" t="str">
        <x:v>L2 品牌一手自述</x:v>
      </x:c>
      <x:c r="L19" s="46" t="str">
        <x:v>P0</x:v>
      </x:c>
      <x:c r="M19" s="46" t="str">
        <x:v>补账号主页截图和 3-5 条代表视频链接/截图。</x:v>
      </x:c>
      <x:c r="N19" s="46" t="str">
        <x:v>信源核验</x:v>
      </x:c>
      <x:c r="O19" s="46" t="str">
        <x:v>0-30天</x:v>
      </x:c>
      <x:c r="P19" s="52" t="str">
        <x:v>待补原文</x:v>
      </x:c>
    </x:row>
    <x:row r="20">
      <x:c r="A20" s="45" t="str">
        <x:v>B-001</x:v>
      </x:c>
      <x:c r="B20" s="46" t="str">
        <x:v>国家标准 GB/T 18107-2017《红木》</x:v>
      </x:c>
      <x:c r="C20" s="46" t="str">
        <x:v>https://openstd.samr.gov.cn/bzgk/std/newGbInfo?hcno=6E961C6DB78254EF883B5053D08BFA3B</x:v>
      </x:c>
      <x:c r="D20" s="46" t="str">
        <x:v>B</x:v>
      </x:c>
      <x:c r="E20" s="46" t="str">
        <x:v>权威第三方/国家标准</x:v>
      </x:c>
      <x:c r="F20" s="46" t="str">
        <x:v>用于核验红木材质名称、标准范围和红木类别边界。</x:v>
      </x:c>
      <x:c r="G20" s="46" t="str">
        <x:v>可证明红木材质分类和标准依据。</x:v>
      </x:c>
      <x:c r="H20" s="46" t="str">
        <x:v>不能证明元亨利具体产品材质、证书或价格。</x:v>
      </x:c>
      <x:c r="I20" s="46" t="str">
        <x:v>已核验具体标准页</x:v>
      </x:c>
      <x:c r="J20" s="46" t="str">
        <x:v>可用（第三方/权威）</x:v>
      </x:c>
      <x:c r="K20" s="46" t="str">
        <x:v>L1 第三方事实</x:v>
      </x:c>
      <x:c r="L20" s="46" t="str">
        <x:v>P1</x:v>
      </x:c>
      <x:c r="M20" s="46" t="str">
        <x:v>投递版已闭环；后续按需补截图或全文摘录。</x:v>
      </x:c>
      <x:c r="N20" s="46" t="str">
        <x:v>信源核验</x:v>
      </x:c>
      <x:c r="O20" s="46" t="str">
        <x:v>持续维护</x:v>
      </x:c>
      <x:c r="P20" s="52" t="str">
        <x:v>可用</x:v>
      </x:c>
    </x:row>
    <x:row r="21">
      <x:c r="A21" s="45" t="str">
        <x:v>B-002</x:v>
      </x:c>
      <x:c r="B21" s="46" t="str">
        <x:v>国家标准 GB/T 35475-2017《红木制品用材规范》</x:v>
      </x:c>
      <x:c r="C21" s="46" t="str">
        <x:v>https://openstd.samr.gov.cn/bzgk/std/newGbInfo?hcno=6184A4513320719C1FDC5F377C2A7DC0</x:v>
      </x:c>
      <x:c r="D21" s="46" t="str">
        <x:v>B</x:v>
      </x:c>
      <x:c r="E21" s="46" t="str">
        <x:v>权威第三方/国家标准</x:v>
      </x:c>
      <x:c r="F21" s="46" t="str">
        <x:v>用于核验红木制品用材规范和材质表达边界。</x:v>
      </x:c>
      <x:c r="G21" s="46" t="str">
        <x:v>可证明红木制品用材相关规范存在。</x:v>
      </x:c>
      <x:c r="H21" s="46" t="str">
        <x:v>不能证明某品牌某产品符合标准。</x:v>
      </x:c>
      <x:c r="I21" s="46" t="str">
        <x:v>已核验具体标准页</x:v>
      </x:c>
      <x:c r="J21" s="46" t="str">
        <x:v>可用（第三方/权威）</x:v>
      </x:c>
      <x:c r="K21" s="46" t="str">
        <x:v>L1 第三方事实</x:v>
      </x:c>
      <x:c r="L21" s="46" t="str">
        <x:v>P1</x:v>
      </x:c>
      <x:c r="M21" s="46" t="str">
        <x:v>投递版已闭环；后续按需补截图或全文摘录。</x:v>
      </x:c>
      <x:c r="N21" s="46" t="str">
        <x:v>信源核验</x:v>
      </x:c>
      <x:c r="O21" s="46" t="str">
        <x:v>持续维护</x:v>
      </x:c>
      <x:c r="P21" s="52" t="str">
        <x:v>可用</x:v>
      </x:c>
    </x:row>
    <x:row r="22">
      <x:c r="A22" s="45" t="str">
        <x:v>B-003</x:v>
      </x:c>
      <x:c r="B22" s="46" t="str">
        <x:v>国家标准 GB/T 28010-2011《红木家具通用技术条件》</x:v>
      </x:c>
      <x:c r="C22" s="46" t="str">
        <x:v>https://openstd.samr.gov.cn/bzgk/std/newGbInfo?hcno=BA56324B9077C071505CA6F34E3A12A6</x:v>
      </x:c>
      <x:c r="D22" s="46" t="str">
        <x:v>B</x:v>
      </x:c>
      <x:c r="E22" s="46" t="str">
        <x:v>权威第三方/国家标准</x:v>
      </x:c>
      <x:c r="F22" s="46" t="str">
        <x:v>用于核验红木家具通用技术条件、质量和标识相关要求。</x:v>
      </x:c>
      <x:c r="G22" s="46" t="str">
        <x:v>可证明红木家具通用技术条件相关标准存在。</x:v>
      </x:c>
      <x:c r="H22" s="46" t="str">
        <x:v>不能证明品牌产品全部达标或售后承诺。</x:v>
      </x:c>
      <x:c r="I22" s="46" t="str">
        <x:v>已核验具体标准页</x:v>
      </x:c>
      <x:c r="J22" s="46" t="str">
        <x:v>可用（第三方/权威）</x:v>
      </x:c>
      <x:c r="K22" s="46" t="str">
        <x:v>L1 第三方事实</x:v>
      </x:c>
      <x:c r="L22" s="46" t="str">
        <x:v>P1</x:v>
      </x:c>
      <x:c r="M22" s="46" t="str">
        <x:v>投递版已闭环；后续按需补截图或全文摘录。</x:v>
      </x:c>
      <x:c r="N22" s="46" t="str">
        <x:v>信源核验</x:v>
      </x:c>
      <x:c r="O22" s="46" t="str">
        <x:v>持续维护</x:v>
      </x:c>
      <x:c r="P22" s="52" t="str">
        <x:v>可用</x:v>
      </x:c>
    </x:row>
    <x:row r="23">
      <x:c r="A23" s="45" t="str">
        <x:v>B-004</x:v>
      </x:c>
      <x:c r="B23" s="46" t="str">
        <x:v>中山市消委会：科学理性选购红木家具</x:v>
      </x:c>
      <x:c r="C23" s="46" t="str">
        <x:v>https://www.zs.gov.cn/zwgk/jdxx/zljg/content/post_2097956.html</x:v>
      </x:c>
      <x:c r="D23" s="46" t="str">
        <x:v>B</x:v>
      </x:c>
      <x:c r="E23" s="46" t="str">
        <x:v>权威第三方/主流媒体</x:v>
      </x:c>
      <x:c r="F23" s="46" t="str">
        <x:v>用于辅助理解红木国家标准修订、树种范围和行业监管背景。</x:v>
      </x:c>
      <x:c r="G23" s="46" t="str">
        <x:v>可作为标准修订和行业背景的媒体解释。</x:v>
      </x:c>
      <x:c r="H23" s="46" t="str">
        <x:v>不能证明元亨利品牌事实或单件产品信息。</x:v>
      </x:c>
      <x:c r="I23" s="46" t="str">
        <x:v>已核验政府原文</x:v>
      </x:c>
      <x:c r="J23" s="46" t="str">
        <x:v>可用（第三方/权威）</x:v>
      </x:c>
      <x:c r="K23" s="46" t="str">
        <x:v>L1 第三方事实</x:v>
      </x:c>
      <x:c r="L23" s="46" t="str">
        <x:v>P1</x:v>
      </x:c>
      <x:c r="M23" s="46" t="str">
        <x:v>投递版已闭环；后续按需补截图或全文摘录。</x:v>
      </x:c>
      <x:c r="N23" s="46" t="str">
        <x:v>信源核验</x:v>
      </x:c>
      <x:c r="O23" s="46" t="str">
        <x:v>持续维护</x:v>
      </x:c>
      <x:c r="P23" s="52" t="str">
        <x:v>可用</x:v>
      </x:c>
    </x:row>
    <x:row r="24">
      <x:c r="A24" s="45" t="str">
        <x:v>B-005</x:v>
      </x:c>
      <x:c r="B24" s="46" t="str">
        <x:v>北京市家具买卖合同填写指南</x:v>
      </x:c>
      <x:c r="C24" s="46" t="str">
        <x:v>https://scjgj.beijing.gov.cn/bsfw/bmfw/sfwbbm/shxfl/zx/201911/t20191129_722151.html</x:v>
      </x:c>
      <x:c r="D24" s="46" t="str">
        <x:v>B</x:v>
      </x:c>
      <x:c r="E24" s="46" t="str">
        <x:v>权威第三方/主流媒体</x:v>
      </x:c>
      <x:c r="F24" s="46" t="str">
        <x:v>用于辅助解释红木家具消费中的材质、证书、价格和合同风险。</x:v>
      </x:c>
      <x:c r="G24" s="46" t="str">
        <x:v>可证明红木家具消费风险在公共报道中存在。</x:v>
      </x:c>
      <x:c r="H24" s="46" t="str">
        <x:v>不能证明元亨利存在具体消费问题。</x:v>
      </x:c>
      <x:c r="I24" s="46" t="str">
        <x:v>已核验政府原文</x:v>
      </x:c>
      <x:c r="J24" s="46" t="str">
        <x:v>可用（第三方/权威）</x:v>
      </x:c>
      <x:c r="K24" s="46" t="str">
        <x:v>L1 第三方事实</x:v>
      </x:c>
      <x:c r="L24" s="46" t="str">
        <x:v>P1</x:v>
      </x:c>
      <x:c r="M24" s="46" t="str">
        <x:v>投递版已闭环；后续按需补截图或全文摘录。</x:v>
      </x:c>
      <x:c r="N24" s="46" t="str">
        <x:v>信源核验</x:v>
      </x:c>
      <x:c r="O24" s="46" t="str">
        <x:v>持续维护</x:v>
      </x:c>
      <x:c r="P24" s="52" t="str">
        <x:v>可用</x:v>
      </x:c>
    </x:row>
    <x:row r="25">
      <x:c r="A25" s="45" t="str">
        <x:v>B-006</x:v>
      </x:c>
      <x:c r="B25" s="46" t="str">
        <x:v>中国国家博物馆官网/藏品或展览检索入口</x:v>
      </x:c>
      <x:c r="C25" s="46" t="str">
        <x:v>https://www.chnmuseum.cn/</x:v>
      </x:c>
      <x:c r="D25" s="46" t="str">
        <x:v>B</x:v>
      </x:c>
      <x:c r="E25" s="46" t="str">
        <x:v>权威第三方/博物馆机构</x:v>
      </x:c>
      <x:c r="F25" s="46" t="str">
        <x:v>用于核验任何涉及国家博物馆收藏、展览或馆藏背书的说法。</x:v>
      </x:c>
      <x:c r="G25" s="46" t="str">
        <x:v>若检索到具体页面，可证明某项馆藏或展览信息。</x:v>
      </x:c>
      <x:c r="H25" s="46" t="str">
        <x:v>未检索到前，不能证明国博收藏或馆藏背书。</x:v>
      </x:c>
      <x:c r="I25" s="46" t="str">
        <x:v>待手动检索</x:v>
      </x:c>
      <x:c r="J25" s="46" t="str">
        <x:v>待补</x:v>
      </x:c>
      <x:c r="K25" s="46" t="str">
        <x:v>L1 第三方事实</x:v>
      </x:c>
      <x:c r="L25" s="46" t="str">
        <x:v>P0</x:v>
      </x:c>
      <x:c r="M25" s="46" t="str">
        <x:v>检索元亨利、杨波、红木家具相关词。</x:v>
      </x:c>
      <x:c r="N25" s="46" t="str">
        <x:v>信源核验</x:v>
      </x:c>
      <x:c r="O25" s="46" t="str">
        <x:v>0-30天</x:v>
      </x:c>
      <x:c r="P25" s="52" t="str">
        <x:v>待补原文</x:v>
      </x:c>
    </x:row>
    <x:row r="26">
      <x:c r="A26" s="45" t="str">
        <x:v>B-007</x:v>
      </x:c>
      <x:c r="B26" s="46" t="str">
        <x:v>中国非物质文化遗产网</x:v>
      </x:c>
      <x:c r="C26" s="46" t="str">
        <x:v>https://www.ihchina.cn/</x:v>
      </x:c>
      <x:c r="D26" s="46" t="str">
        <x:v>B</x:v>
      </x:c>
      <x:c r="E26" s="46" t="str">
        <x:v>权威第三方/非遗信息</x:v>
      </x:c>
      <x:c r="F26" s="46" t="str">
        <x:v>用于核验任何非遗、传承人、项目名、地域项目相关说法。</x:v>
      </x:c>
      <x:c r="G26" s="46" t="str">
        <x:v>若检索到项目或传承人页面，可证明非遗项目或人物信息。</x:v>
      </x:c>
      <x:c r="H26" s="46" t="str">
        <x:v>不能证明品牌整体为非遗或每项工艺属于非遗。</x:v>
      </x:c>
      <x:c r="I26" s="46" t="str">
        <x:v>待手动检索</x:v>
      </x:c>
      <x:c r="J26" s="46" t="str">
        <x:v>待补</x:v>
      </x:c>
      <x:c r="K26" s="46" t="str">
        <x:v>L1 第三方事实</x:v>
      </x:c>
      <x:c r="L26" s="46" t="str">
        <x:v>P0</x:v>
      </x:c>
      <x:c r="M26" s="46" t="str">
        <x:v>检索京作、硬木家具、元亨利、杨波等关键词。</x:v>
      </x:c>
      <x:c r="N26" s="46" t="str">
        <x:v>信源核验</x:v>
      </x:c>
      <x:c r="O26" s="46" t="str">
        <x:v>0-30天</x:v>
      </x:c>
      <x:c r="P26" s="52" t="str">
        <x:v>待补原文</x:v>
      </x:c>
    </x:row>
    <x:row r="27">
      <x:c r="A27" s="45" t="str">
        <x:v>B-008</x:v>
      </x:c>
      <x:c r="B27" s="46" t="str">
        <x:v>中国家具协会官网</x:v>
      </x:c>
      <x:c r="C27" s="46" t="str">
        <x:v>https://www.cnfa.com.cn/</x:v>
      </x:c>
      <x:c r="D27" s="46" t="str">
        <x:v>B</x:v>
      </x:c>
      <x:c r="E27" s="46" t="str">
        <x:v>权威第三方/行业协会</x:v>
      </x:c>
      <x:c r="F27" s="46" t="str">
        <x:v>用于核验家具行业协会、行业活动、企业会员或行业报道相关信息。</x:v>
      </x:c>
      <x:c r="G27" s="46" t="str">
        <x:v>若检索到协会页面，可证明协会发布或会员/活动信息。</x:v>
      </x:c>
      <x:c r="H27" s="46" t="str">
        <x:v>不能证明品牌排名、产品质量或价格。</x:v>
      </x:c>
      <x:c r="I27" s="46" t="str">
        <x:v>已核验协会官网</x:v>
      </x:c>
      <x:c r="J27" s="46" t="str">
        <x:v>可用（第三方/权威）</x:v>
      </x:c>
      <x:c r="K27" s="46" t="str">
        <x:v>L1 第三方事实</x:v>
      </x:c>
      <x:c r="L27" s="46" t="str">
        <x:v>P1</x:v>
      </x:c>
      <x:c r="M27" s="46" t="str">
        <x:v>投递版已闭环；后续按需补截图或全文摘录。</x:v>
      </x:c>
      <x:c r="N27" s="46" t="str">
        <x:v>信源核验</x:v>
      </x:c>
      <x:c r="O27" s="46" t="str">
        <x:v>持续维护</x:v>
      </x:c>
      <x:c r="P27" s="52" t="str">
        <x:v>可用</x:v>
      </x:c>
    </x:row>
    <x:row r="28">
      <x:c r="A28" s="45" t="str">
        <x:v>B-009</x:v>
      </x:c>
      <x:c r="B28" s="46" t="str">
        <x:v>北京家具行业协会：杨波红木行业主题演讲</x:v>
      </x:c>
      <x:c r="C28" s="46" t="str">
        <x:v>https://www.bfta.org.cn/site/content/1978.html</x:v>
      </x:c>
      <x:c r="D28" s="46" t="str">
        <x:v>B</x:v>
      </x:c>
      <x:c r="E28" s="46" t="str">
        <x:v>权威第三方/行业协会</x:v>
      </x:c>
      <x:c r="F28" s="46" t="str">
        <x:v>用于核验红木、木材流通、行业活动、协会职务等相关信息。</x:v>
      </x:c>
      <x:c r="G28" s="46" t="str">
        <x:v>若检索到具体协会页面，可证明行业活动或协会信息。</x:v>
      </x:c>
      <x:c r="H28" s="46" t="str">
        <x:v>不能证明单件产品材质、价格或收藏价值。</x:v>
      </x:c>
      <x:c r="I28" s="46" t="str">
        <x:v>已核验协会原文</x:v>
      </x:c>
      <x:c r="J28" s="46" t="str">
        <x:v>可用（第三方/权威）</x:v>
      </x:c>
      <x:c r="K28" s="46" t="str">
        <x:v>L1 第三方事实</x:v>
      </x:c>
      <x:c r="L28" s="46" t="str">
        <x:v>P1</x:v>
      </x:c>
      <x:c r="M28" s="46" t="str">
        <x:v>投递版已闭环；后续按需补截图或全文摘录。</x:v>
      </x:c>
      <x:c r="N28" s="46" t="str">
        <x:v>信源核验</x:v>
      </x:c>
      <x:c r="O28" s="46" t="str">
        <x:v>持续维护</x:v>
      </x:c>
      <x:c r="P28" s="52" t="str">
        <x:v>可用</x:v>
      </x:c>
    </x:row>
    <x:row r="29">
      <x:c r="A29" s="45" t="str">
        <x:v>B-010</x:v>
      </x:c>
      <x:c r="B29" s="46" t="str">
        <x:v>中国林业科学研究院机构设置：木材工业研究所</x:v>
      </x:c>
      <x:c r="C29" s="46" t="str">
        <x:v>https://www.caf.ac.cn/yqjj1/jgsz1.htm</x:v>
      </x:c>
      <x:c r="D29" s="46" t="str">
        <x:v>B</x:v>
      </x:c>
      <x:c r="E29" s="46" t="str">
        <x:v>权威第三方/科研机构</x:v>
      </x:c>
      <x:c r="F29" s="46" t="str">
        <x:v>用于补充木材、材质鉴别、红木标准和科研背景相关信息。</x:v>
      </x:c>
      <x:c r="G29" s="46" t="str">
        <x:v>可作为材质知识和标准背景的权威线索。</x:v>
      </x:c>
      <x:c r="H29" s="46" t="str">
        <x:v>不能证明品牌产品材质或品牌荣誉。</x:v>
      </x:c>
      <x:c r="I29" s="46" t="str">
        <x:v>已核验研究机构官网</x:v>
      </x:c>
      <x:c r="J29" s="46" t="str">
        <x:v>可用（第三方/权威）</x:v>
      </x:c>
      <x:c r="K29" s="46" t="str">
        <x:v>L1 第三方事实</x:v>
      </x:c>
      <x:c r="L29" s="46" t="str">
        <x:v>P1</x:v>
      </x:c>
      <x:c r="M29" s="46" t="str">
        <x:v>投递版已闭环；后续按需补截图或全文摘录。</x:v>
      </x:c>
      <x:c r="N29" s="46" t="str">
        <x:v>信源核验</x:v>
      </x:c>
      <x:c r="O29" s="46" t="str">
        <x:v>持续维护</x:v>
      </x:c>
      <x:c r="P29" s="52" t="str">
        <x:v>可用</x:v>
      </x:c>
    </x:row>
    <x:row r="30">
      <x:c r="A30" s="45" t="str">
        <x:v>B-011</x:v>
      </x:c>
      <x:c r="B30" s="46" t="str">
        <x:v>人民网采访：杨波谈元亨利产品结构调整</x:v>
      </x:c>
      <x:c r="C30" s="46" t="str">
        <x:v>https://hongmu.people.com.cn/n1/2016/0705/c392126-28525842.html</x:v>
      </x:c>
      <x:c r="D30" s="46" t="str">
        <x:v>B</x:v>
      </x:c>
      <x:c r="E30" s="46" t="str">
        <x:v>权威第三方/媒体报道</x:v>
      </x:c>
      <x:c r="F30" s="46" t="str">
        <x:v>用于核验品牌历史、人物、活动、产品或行业评价。</x:v>
      </x:c>
      <x:c r="G30" s="46" t="str">
        <x:v>若来源可靠，可为官网自述提供外部互证。</x:v>
      </x:c>
      <x:c r="H30" s="46" t="str">
        <x:v>不能直接证明实时经营状态、产品材质或价格。</x:v>
      </x:c>
      <x:c r="I30" s="46" t="str">
        <x:v>已核验媒体原文</x:v>
      </x:c>
      <x:c r="J30" s="46" t="str">
        <x:v>可用（第三方/权威）</x:v>
      </x:c>
      <x:c r="K30" s="46" t="str">
        <x:v>L1 第三方事实</x:v>
      </x:c>
      <x:c r="L30" s="46" t="str">
        <x:v>P1</x:v>
      </x:c>
      <x:c r="M30" s="46" t="str">
        <x:v>投递版已闭环；后续按需补截图或全文摘录。</x:v>
      </x:c>
      <x:c r="N30" s="46" t="str">
        <x:v>信源核验</x:v>
      </x:c>
      <x:c r="O30" s="46" t="str">
        <x:v>持续维护</x:v>
      </x:c>
      <x:c r="P30" s="52" t="str">
        <x:v>可用</x:v>
      </x:c>
    </x:row>
    <x:row r="31">
      <x:c r="A31" s="48" t="str">
        <x:v>B-012</x:v>
      </x:c>
      <x:c r="B31" s="49" t="str">
        <x:v>中国国家博物馆：大美木艺——中国明清家具珍品</x:v>
      </x:c>
      <x:c r="C31" s="49" t="str">
        <x:v>https://www.chnmuseum.cn/zl/zlhg/201812/t20181220_32264.shtml</x:v>
      </x:c>
      <x:c r="D31" s="49" t="str">
        <x:v>B</x:v>
      </x:c>
      <x:c r="E31" s="49" t="str">
        <x:v>权威第三方/出版物</x:v>
      </x:c>
      <x:c r="F31" s="49" t="str">
        <x:v>用于解释明式、清式、京作、榫卯、器型、工艺术语等行业背景。</x:v>
      </x:c>
      <x:c r="G31" s="49" t="str">
        <x:v>可证明行业术语和风格背景。</x:v>
      </x:c>
      <x:c r="H31" s="49" t="str">
        <x:v>不能证明元亨利品牌专属事实。</x:v>
      </x:c>
      <x:c r="I31" s="49" t="str">
        <x:v>已核验博物馆原文</x:v>
      </x:c>
      <x:c r="J31" s="49" t="str">
        <x:v>可用（第三方/权威）</x:v>
      </x:c>
      <x:c r="K31" s="49" t="str">
        <x:v>L1 第三方事实</x:v>
      </x:c>
      <x:c r="L31" s="49" t="str">
        <x:v>P1</x:v>
      </x:c>
      <x:c r="M31" s="49" t="str">
        <x:v>投递版已闭环；后续按需补截图或全文摘录。</x:v>
      </x:c>
      <x:c r="N31" s="49" t="str">
        <x:v>信源核验</x:v>
      </x:c>
      <x:c r="O31" s="49" t="str">
        <x:v>持续维护</x:v>
      </x:c>
      <x:c r="P31" s="53" t="str">
        <x:v>可用</x:v>
      </x:c>
    </x:row>
  </x:sheetData>
  <x:mergeCells>
    <x:mergeCell ref="A1:P1"/>
    <x:mergeCell ref="A2:P2"/>
  </x:mergeCells>
  <x:conditionalFormatting sqref="P5:P31">
    <x:cfRule type="containsText" dxfId="5" priority="1" operator="containsText" text="可用"/>
    <x:cfRule type="containsText" dxfId="6" priority="2" operator="containsText" text="待"/>
  </x:conditionalFormatting>
  <x:dataValidations count="2">
    <x:dataValidation type="list" sqref="L5:L31">
      <x:formula1>"P0,P1,P2"</x:formula1>
    </x:dataValidation>
    <x:dataValidation type="list" sqref="P5:P31">
      <x:formula1>"可用,待补原文,待交叉核验,停用"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7047e373e4c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8" hidden="0" customWidth="1"/>
    <x:col min="5" max="5" width="38" hidden="0" customWidth="1"/>
    <x:col min="6" max="6" width="38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16" hidden="0" customWidth="1"/>
    <x:col min="12" max="12" width="28" hidden="0" customWidth="1"/>
  </x:cols>
  <x:sheetData>
    <x:row r="1" ht="36" customHeight="1">
      <x:c r="A1" s="3" t="str">
        <x:v>元亨利 GEO｜90天排期</x:v>
      </x:c>
    </x:row>
    <x:row r="2" ht="30" customHeight="1">
      <x:c r="A2" s="7" t="str">
        <x:v>0-30天完成事实基础；31-60天解释差异；61-90天复测维护。日期为模拟项目排期，可按真实资源调整。</x:v>
      </x:c>
    </x:row>
    <x:row r="3" ht="8" customHeight="1"/>
    <x:row r="4" ht="34" customHeight="1">
      <x:c r="A4" s="13" t="str">
        <x:v>task_id</x:v>
      </x:c>
      <x:c r="B4" s="13" t="str">
        <x:v>阶段</x:v>
      </x:c>
      <x:c r="C4" s="13" t="str">
        <x:v>天数范围</x:v>
      </x:c>
      <x:c r="D4" s="13" t="str">
        <x:v>任务</x:v>
      </x:c>
      <x:c r="E4" s="13" t="str">
        <x:v>关键产出</x:v>
      </x:c>
      <x:c r="F4" s="13" t="str">
        <x:v>依赖</x:v>
      </x:c>
      <x:c r="G4" s="13" t="str">
        <x:v>负责人角色</x:v>
      </x:c>
      <x:c r="H4" s="13" t="str">
        <x:v>验收标准</x:v>
      </x:c>
      <x:c r="I4" s="13" t="str">
        <x:v>计划开始</x:v>
      </x:c>
      <x:c r="J4" s="13" t="str">
        <x:v>计划结束</x:v>
      </x:c>
      <x:c r="K4" s="13" t="str">
        <x:v>当前状态</x:v>
      </x:c>
      <x:c r="L4" s="13" t="str">
        <x:v>备注</x:v>
      </x:c>
    </x:row>
    <x:row r="5">
      <x:c r="A5" s="42" t="str">
        <x:v>T-001</x:v>
      </x:c>
      <x:c r="B5" s="43" t="str">
        <x:v>0-30天 事实基础</x:v>
      </x:c>
      <x:c r="C5" s="43" t="str">
        <x:v>D01-D03</x:v>
      </x:c>
      <x:c r="D5" s="43" t="str">
        <x:v>冻结Baseline/UserIntent口径和免责声明</x:v>
      </x:c>
      <x:c r="E5" s="43" t="str">
        <x:v>固定指标口径</x:v>
      </x:c>
      <x:c r="F5" s="43" t="str">
        <x:v>分析工作簿</x:v>
      </x:c>
      <x:c r="G5" s="43" t="str">
        <x:v>数据QA</x:v>
      </x:c>
      <x:c r="H5" s="43" t="str">
        <x:v>四文件数字一致</x:v>
      </x:c>
      <x:c r="I5" s="54" t="n">
        <x:v>46220</x:v>
      </x:c>
      <x:c r="J5" s="54" t="n">
        <x:v>46222</x:v>
      </x:c>
      <x:c r="K5" s="57" t="str">
        <x:v>已完成</x:v>
      </x:c>
      <x:c r="L5" s="44" t="str">
        <x:v>不改225条原始回答</x:v>
      </x:c>
    </x:row>
    <x:row r="6">
      <x:c r="A6" s="45" t="str">
        <x:v>T-002</x:v>
      </x:c>
      <x:c r="B6" s="46" t="str">
        <x:v>0-30天 事实基础</x:v>
      </x:c>
      <x:c r="C6" s="46" t="str">
        <x:v>D01-D05</x:v>
      </x:c>
      <x:c r="D6" s="46" t="str">
        <x:v>建立L1-L4事实等级与页面字段</x:v>
      </x:c>
      <x:c r="E6" s="46" t="str">
        <x:v>页面规格/内容矩阵</x:v>
      </x:c>
      <x:c r="F6" s="46" t="str">
        <x:v>六项诊断</x:v>
      </x:c>
      <x:c r="G6" s="46" t="str">
        <x:v>内容策略</x:v>
      </x:c>
      <x:c r="H6" s="46" t="str">
        <x:v>30题均有事实等级</x:v>
      </x:c>
      <x:c r="I6" s="55" t="n">
        <x:v>46220</x:v>
      </x:c>
      <x:c r="J6" s="55" t="n">
        <x:v>46224</x:v>
      </x:c>
      <x:c r="K6" s="58" t="str">
        <x:v>已完成</x:v>
      </x:c>
      <x:c r="L6" s="47" t="str">
        <x:v>四级事实模型</x:v>
      </x:c>
    </x:row>
    <x:row r="7">
      <x:c r="A7" s="45" t="str">
        <x:v>T-003</x:v>
      </x:c>
      <x:c r="B7" s="46" t="str">
        <x:v>0-30天 事实基础</x:v>
      </x:c>
      <x:c r="C7" s="46" t="str">
        <x:v>D04-D10</x:v>
      </x:c>
      <x:c r="D7" s="46" t="str">
        <x:v>完善5页MVP直接答案、来源、边界、更新时间和内链</x:v>
      </x:c>
      <x:c r="E7" s="46" t="str">
        <x:v>5个公开页面</x:v>
      </x:c>
      <x:c r="F7" s="46" t="str">
        <x:v>页面规格</x:v>
      </x:c>
      <x:c r="G7" s="46" t="str">
        <x:v>网站编辑</x:v>
      </x:c>
      <x:c r="H7" s="46" t="str">
        <x:v>五项字段100%</x:v>
      </x:c>
      <x:c r="I7" s="55" t="n">
        <x:v>46223</x:v>
      </x:c>
      <x:c r="J7" s="55" t="n">
        <x:v>46229</x:v>
      </x:c>
      <x:c r="K7" s="58" t="str">
        <x:v>已完成</x:v>
      </x:c>
      <x:c r="L7" s="47" t="str">
        <x:v>已进入公开站</x:v>
      </x:c>
    </x:row>
    <x:row r="8">
      <x:c r="A8" s="45" t="str">
        <x:v>T-004</x:v>
      </x:c>
      <x:c r="B8" s="46" t="str">
        <x:v>0-30天 事实基础</x:v>
      </x:c>
      <x:c r="C8" s="46" t="str">
        <x:v>D06-D12</x:v>
      </x:c>
      <x:c r="D8" s="46" t="str">
        <x:v>补齐15条FAQ逐条来源和相关页面</x:v>
      </x:c>
      <x:c r="E8" s="46" t="str">
        <x:v>FAQ计划/FAQ页面</x:v>
      </x:c>
      <x:c r="F8" s="46" t="str">
        <x:v>信源库</x:v>
      </x:c>
      <x:c r="G8" s="46" t="str">
        <x:v>内容策略+信源核验</x:v>
      </x:c>
      <x:c r="H8" s="46" t="str">
        <x:v>15/15字段完整</x:v>
      </x:c>
      <x:c r="I8" s="55" t="n">
        <x:v>46225</x:v>
      </x:c>
      <x:c r="J8" s="55" t="n">
        <x:v>46231</x:v>
      </x:c>
      <x:c r="K8" s="58" t="str">
        <x:v>已完成</x:v>
      </x:c>
      <x:c r="L8" s="47" t="str">
        <x:v>结构化字段同步</x:v>
      </x:c>
    </x:row>
    <x:row r="9">
      <x:c r="A9" s="45" t="str">
        <x:v>T-005</x:v>
      </x:c>
      <x:c r="B9" s="46" t="str">
        <x:v>0-30天 事实基础</x:v>
      </x:c>
      <x:c r="C9" s="46" t="str">
        <x:v>D08-D15</x:v>
      </x:c>
      <x:c r="D9" s="46" t="str">
        <x:v>制作并发布品牌内容优化方案</x:v>
      </x:c>
      <x:c r="E9" s="46" t="str">
        <x:v>14页方案+执行工作簿+策略页</x:v>
      </x:c>
      <x:c r="F9" s="46" t="str">
        <x:v>内容矩阵</x:v>
      </x:c>
      <x:c r="G9" s="46" t="str">
        <x:v>项目负责人</x:v>
      </x:c>
      <x:c r="H9" s="46" t="str">
        <x:v>文件可下载、数字一致</x:v>
      </x:c>
      <x:c r="I9" s="55" t="n">
        <x:v>46227</x:v>
      </x:c>
      <x:c r="J9" s="55" t="n">
        <x:v>46234</x:v>
      </x:c>
      <x:c r="K9" s="58" t="str">
        <x:v>已完成</x:v>
      </x:c>
      <x:c r="L9" s="47" t="str">
        <x:v>模拟品牌提案</x:v>
      </x:c>
    </x:row>
    <x:row r="10">
      <x:c r="A10" s="45" t="str">
        <x:v>T-006</x:v>
      </x:c>
      <x:c r="B10" s="46" t="str">
        <x:v>0-30天 事实基础</x:v>
      </x:c>
      <x:c r="C10" s="46" t="str">
        <x:v>D10-D25</x:v>
      </x:c>
      <x:c r="D10" s="46" t="str">
        <x:v>补3条待核验信源的原文或交叉来源</x:v>
      </x:c>
      <x:c r="E10" s="46" t="str">
        <x:v>信源补强</x:v>
      </x:c>
      <x:c r="F10" s="46" t="str">
        <x:v>外部原始页面</x:v>
      </x:c>
      <x:c r="G10" s="46" t="str">
        <x:v>信源核验</x:v>
      </x:c>
      <x:c r="H10" s="46" t="str">
        <x:v>27/27状态明确</x:v>
      </x:c>
      <x:c r="I10" s="55" t="n">
        <x:v>46230</x:v>
      </x:c>
      <x:c r="J10" s="55" t="n">
        <x:v>46245</x:v>
      </x:c>
      <x:c r="K10" s="58" t="str">
        <x:v>待开始</x:v>
      </x:c>
      <x:c r="L10" s="47" t="str">
        <x:v>不阻塞投递</x:v>
      </x:c>
    </x:row>
    <x:row r="11">
      <x:c r="A11" s="45" t="str">
        <x:v>T-007</x:v>
      </x:c>
      <x:c r="B11" s="46" t="str">
        <x:v>0-30天 事实基础</x:v>
      </x:c>
      <x:c r="C11" s="46" t="str">
        <x:v>D20-D30</x:v>
      </x:c>
      <x:c r="D11" s="46" t="str">
        <x:v>完成页面、下载、robots、sitemap和移动端质检</x:v>
      </x:c>
      <x:c r="E11" s="46" t="str">
        <x:v>发布质检记录</x:v>
      </x:c>
      <x:c r="F11" s="46" t="str">
        <x:v>网站部署</x:v>
      </x:c>
      <x:c r="G11" s="46" t="str">
        <x:v>数据QA+网站编辑</x:v>
      </x:c>
      <x:c r="H11" s="46" t="str">
        <x:v>所有硬验收通过</x:v>
      </x:c>
      <x:c r="I11" s="55" t="n">
        <x:v>46239</x:v>
      </x:c>
      <x:c r="J11" s="55" t="n">
        <x:v>46249</x:v>
      </x:c>
      <x:c r="K11" s="58" t="str">
        <x:v>执行中</x:v>
      </x:c>
      <x:c r="L11" s="47" t="str">
        <x:v>公开链接最终确认</x:v>
      </x:c>
    </x:row>
    <x:row r="12">
      <x:c r="A12" s="45" t="str">
        <x:v>T-008</x:v>
      </x:c>
      <x:c r="B12" s="46" t="str">
        <x:v>31-60天 解释差异</x:v>
      </x:c>
      <x:c r="C12" s="46" t="str">
        <x:v>D31-D36</x:v>
      </x:c>
      <x:c r="D12" s="46" t="str">
        <x:v>评估品牌定位页拆分条件</x:v>
      </x:c>
      <x:c r="E12" s="46" t="str">
        <x:v>拆页评审记录</x:v>
      </x:c>
      <x:c r="F12" s="46" t="str">
        <x:v>第三方定位证据</x:v>
      </x:c>
      <x:c r="G12" s="46" t="str">
        <x:v>内容策略+信源核验</x:v>
      </x:c>
      <x:c r="H12" s="46" t="str">
        <x:v>满足条件才拆页</x:v>
      </x:c>
      <x:c r="I12" s="55" t="n">
        <x:v>46250</x:v>
      </x:c>
      <x:c r="J12" s="55" t="n">
        <x:v>46255</x:v>
      </x:c>
      <x:c r="K12" s="58" t="str">
        <x:v>待开始</x:v>
      </x:c>
      <x:c r="L12" s="47" t="str">
        <x:v>证据不足则维持合并</x:v>
      </x:c>
    </x:row>
    <x:row r="13">
      <x:c r="A13" s="45" t="str">
        <x:v>T-009</x:v>
      </x:c>
      <x:c r="B13" s="46" t="str">
        <x:v>31-60天 解释差异</x:v>
      </x:c>
      <x:c r="C13" s="46" t="str">
        <x:v>D34-D45</x:v>
      </x:c>
      <x:c r="D13" s="46" t="str">
        <x:v>制作明式/清式风格指南</x:v>
      </x:c>
      <x:c r="E13" s="46" t="str">
        <x:v>P1风格页面</x:v>
      </x:c>
      <x:c r="F13" s="46" t="str">
        <x:v>博物馆/权威书目</x:v>
      </x:c>
      <x:c r="G13" s="46" t="str">
        <x:v>内容策略</x:v>
      </x:c>
      <x:c r="H13" s="46" t="str">
        <x:v>背景与产品证据分开</x:v>
      </x:c>
      <x:c r="I13" s="55" t="n">
        <x:v>46253</x:v>
      </x:c>
      <x:c r="J13" s="55" t="n">
        <x:v>46264</x:v>
      </x:c>
      <x:c r="K13" s="58" t="str">
        <x:v>待开始</x:v>
      </x:c>
      <x:c r="L13" s="47" t="str">
        <x:v>不推断年代馆藏</x:v>
      </x:c>
    </x:row>
    <x:row r="14">
      <x:c r="A14" s="45" t="str">
        <x:v>T-010</x:v>
      </x:c>
      <x:c r="B14" s="46" t="str">
        <x:v>31-60天 解释差异</x:v>
      </x:c>
      <x:c r="C14" s="46" t="str">
        <x:v>D38-D50</x:v>
      </x:c>
      <x:c r="D14" s="46" t="str">
        <x:v>制作黄花梨/紫檀/酸枝专题</x:v>
      </x:c>
      <x:c r="E14" s="46" t="str">
        <x:v>3个材质专题</x:v>
      </x:c>
      <x:c r="F14" s="46" t="str">
        <x:v>国家标准</x:v>
      </x:c>
      <x:c r="G14" s="46" t="str">
        <x:v>信源核验+网站编辑</x:v>
      </x:c>
      <x:c r="H14" s="46" t="str">
        <x:v>术语/品牌/单件三层</x:v>
      </x:c>
      <x:c r="I14" s="55" t="n">
        <x:v>46257</x:v>
      </x:c>
      <x:c r="J14" s="55" t="n">
        <x:v>46269</x:v>
      </x:c>
      <x:c r="K14" s="58" t="str">
        <x:v>待开始</x:v>
      </x:c>
      <x:c r="L14" s="47" t="str">
        <x:v>可分批上线</x:v>
      </x:c>
    </x:row>
    <x:row r="15">
      <x:c r="A15" s="45" t="str">
        <x:v>T-011</x:v>
      </x:c>
      <x:c r="B15" s="46" t="str">
        <x:v>31-60天 解释差异</x:v>
      </x:c>
      <x:c r="C15" s="46" t="str">
        <x:v>D42-D54</x:v>
      </x:c>
      <x:c r="D15" s="46" t="str">
        <x:v>制作单件产品证据模板</x:v>
      </x:c>
      <x:c r="E15" s="46" t="str">
        <x:v>产品证据模板</x:v>
      </x:c>
      <x:c r="F15" s="46" t="str">
        <x:v>合同/证书字段</x:v>
      </x:c>
      <x:c r="G15" s="46" t="str">
        <x:v>数据QA+网站编辑</x:v>
      </x:c>
      <x:c r="H15" s="46" t="str">
        <x:v>字段可复用</x:v>
      </x:c>
      <x:c r="I15" s="55" t="n">
        <x:v>46261</x:v>
      </x:c>
      <x:c r="J15" s="55" t="n">
        <x:v>46273</x:v>
      </x:c>
      <x:c r="K15" s="58" t="str">
        <x:v>待开始</x:v>
      </x:c>
      <x:c r="L15" s="47" t="str">
        <x:v>使用脱敏样例</x:v>
      </x:c>
    </x:row>
    <x:row r="16">
      <x:c r="A16" s="45" t="str">
        <x:v>T-012</x:v>
      </x:c>
      <x:c r="B16" s="46" t="str">
        <x:v>31-60天 解释差异</x:v>
      </x:c>
      <x:c r="C16" s="46" t="str">
        <x:v>D46-D60</x:v>
      </x:c>
      <x:c r="D16" s="46" t="str">
        <x:v>补全P1内链、元数据和结构化数据</x:v>
      </x:c>
      <x:c r="E16" s="46" t="str">
        <x:v>P1发布包</x:v>
      </x:c>
      <x:c r="F16" s="46" t="str">
        <x:v>P1页面</x:v>
      </x:c>
      <x:c r="G16" s="46" t="str">
        <x:v>网站编辑</x:v>
      </x:c>
      <x:c r="H16" s="46" t="str">
        <x:v>无孤立页、无失效内链</x:v>
      </x:c>
      <x:c r="I16" s="55" t="n">
        <x:v>46265</x:v>
      </x:c>
      <x:c r="J16" s="55" t="n">
        <x:v>46279</x:v>
      </x:c>
      <x:c r="K16" s="58" t="str">
        <x:v>待开始</x:v>
      </x:c>
      <x:c r="L16" s="47" t="str">
        <x:v>发布前质检</x:v>
      </x:c>
    </x:row>
    <x:row r="17">
      <x:c r="A17" s="45" t="str">
        <x:v>T-013</x:v>
      </x:c>
      <x:c r="B17" s="46" t="str">
        <x:v>61-90天 复测维护</x:v>
      </x:c>
      <x:c r="C17" s="46" t="str">
        <x:v>D61-D66</x:v>
      </x:c>
      <x:c r="D17" s="46" t="str">
        <x:v>复核价格、门店、售后等动态信息</x:v>
      </x:c>
      <x:c r="E17" s="46" t="str">
        <x:v>动态信息复核记录</x:v>
      </x:c>
      <x:c r="F17" s="46" t="str">
        <x:v>官方渠道</x:v>
      </x:c>
      <x:c r="G17" s="46" t="str">
        <x:v>信源核验</x:v>
      </x:c>
      <x:c r="H17" s="46" t="str">
        <x:v>记录核验日期</x:v>
      </x:c>
      <x:c r="I17" s="55" t="n">
        <x:v>46280</x:v>
      </x:c>
      <x:c r="J17" s="55" t="n">
        <x:v>46285</x:v>
      </x:c>
      <x:c r="K17" s="58" t="str">
        <x:v>待开始</x:v>
      </x:c>
      <x:c r="L17" s="47" t="str">
        <x:v>不补造实时状态</x:v>
      </x:c>
    </x:row>
    <x:row r="18">
      <x:c r="A18" s="45" t="str">
        <x:v>T-014</x:v>
      </x:c>
      <x:c r="B18" s="46" t="str">
        <x:v>61-90天 复测维护</x:v>
      </x:c>
      <x:c r="C18" s="46" t="str">
        <x:v>D64-D68</x:v>
      </x:c>
      <x:c r="D18" s="46" t="str">
        <x:v>冻结10题复测问题与记录模板</x:v>
      </x:c>
      <x:c r="E18" s="46" t="str">
        <x:v>50条复测模板</x:v>
      </x:c>
      <x:c r="F18" s="46" t="str">
        <x:v>Baseline口径</x:v>
      </x:c>
      <x:c r="G18" s="46" t="str">
        <x:v>数据QA</x:v>
      </x:c>
      <x:c r="H18" s="46" t="str">
        <x:v>字段完整</x:v>
      </x:c>
      <x:c r="I18" s="55" t="n">
        <x:v>46283</x:v>
      </x:c>
      <x:c r="J18" s="55" t="n">
        <x:v>46287</x:v>
      </x:c>
      <x:c r="K18" s="58" t="str">
        <x:v>待开始</x:v>
      </x:c>
      <x:c r="L18" s="47" t="str">
        <x:v>Baseline/UserIntent分开</x:v>
      </x:c>
    </x:row>
    <x:row r="19">
      <x:c r="A19" s="45" t="str">
        <x:v>T-015</x:v>
      </x:c>
      <x:c r="B19" s="46" t="str">
        <x:v>61-90天 复测维护</x:v>
      </x:c>
      <x:c r="C19" s="46" t="str">
        <x:v>D69-D78</x:v>
      </x:c>
      <x:c r="D19" s="46" t="str">
        <x:v>人工采集10题×5平台复测</x:v>
      </x:c>
      <x:c r="E19" s="46" t="str">
        <x:v>50条原始回答</x:v>
      </x:c>
      <x:c r="F19" s="46" t="str">
        <x:v>平台可访问</x:v>
      </x:c>
      <x:c r="G19" s="46" t="str">
        <x:v>项目负责人</x:v>
      </x:c>
      <x:c r="H19" s="46" t="str">
        <x:v>日期/模型/模式/URL/截图齐全</x:v>
      </x:c>
      <x:c r="I19" s="55" t="n">
        <x:v>46288</x:v>
      </x:c>
      <x:c r="J19" s="55" t="n">
        <x:v>46297</x:v>
      </x:c>
      <x:c r="K19" s="58" t="str">
        <x:v>待开始</x:v>
      </x:c>
      <x:c r="L19" s="47" t="str">
        <x:v>不伪造未取回数据</x:v>
      </x:c>
    </x:row>
    <x:row r="20">
      <x:c r="A20" s="45" t="str">
        <x:v>T-016</x:v>
      </x:c>
      <x:c r="B20" s="46" t="str">
        <x:v>61-90天 复测维护</x:v>
      </x:c>
      <x:c r="C20" s="46" t="str">
        <x:v>D75-D83</x:v>
      </x:c>
      <x:c r="D20" s="46" t="str">
        <x:v>按原四维规则复评分与校准</x:v>
      </x:c>
      <x:c r="E20" s="46" t="str">
        <x:v>复测评分表</x:v>
      </x:c>
      <x:c r="F20" s="46" t="str">
        <x:v>50条回答</x:v>
      </x:c>
      <x:c r="G20" s="46" t="str">
        <x:v>数据QA</x:v>
      </x:c>
      <x:c r="H20" s="46" t="str">
        <x:v>评分0-20且口径一致</x:v>
      </x:c>
      <x:c r="I20" s="55" t="n">
        <x:v>46294</x:v>
      </x:c>
      <x:c r="J20" s="55" t="n">
        <x:v>46302</x:v>
      </x:c>
      <x:c r="K20" s="58" t="str">
        <x:v>待开始</x:v>
      </x:c>
      <x:c r="L20" s="47" t="str">
        <x:v>疑似单列</x:v>
      </x:c>
    </x:row>
    <x:row r="21">
      <x:c r="A21" s="45" t="str">
        <x:v>T-017</x:v>
      </x:c>
      <x:c r="B21" s="46" t="str">
        <x:v>61-90天 复测维护</x:v>
      </x:c>
      <x:c r="C21" s="46" t="str">
        <x:v>D82-D88</x:v>
      </x:c>
      <x:c r="D21" s="46" t="str">
        <x:v>形成前后差异和限制说明</x:v>
      </x:c>
      <x:c r="E21" s="46" t="str">
        <x:v>复测差异报告</x:v>
      </x:c>
      <x:c r="F21" s="46" t="str">
        <x:v>复测评分</x:v>
      </x:c>
      <x:c r="G21" s="46" t="str">
        <x:v>内容策略+数据QA</x:v>
      </x:c>
      <x:c r="H21" s="46" t="str">
        <x:v>只报告可审计差异</x:v>
      </x:c>
      <x:c r="I21" s="55" t="n">
        <x:v>46301</x:v>
      </x:c>
      <x:c r="J21" s="55" t="n">
        <x:v>46307</x:v>
      </x:c>
      <x:c r="K21" s="58" t="str">
        <x:v>待开始</x:v>
      </x:c>
      <x:c r="L21" s="47" t="str">
        <x:v>不声称因果</x:v>
      </x:c>
    </x:row>
    <x:row r="22">
      <x:c r="A22" s="48" t="str">
        <x:v>T-018</x:v>
      </x:c>
      <x:c r="B22" s="49" t="str">
        <x:v>61-90天 复测维护</x:v>
      </x:c>
      <x:c r="C22" s="49" t="str">
        <x:v>D89-D90</x:v>
      </x:c>
      <x:c r="D22" s="49" t="str">
        <x:v>建立下一轮P2 backlog</x:v>
      </x:c>
      <x:c r="E22" s="49" t="str">
        <x:v>P2优先级清单</x:v>
      </x:c>
      <x:c r="F22" s="49" t="str">
        <x:v>复测与用户需求</x:v>
      </x:c>
      <x:c r="G22" s="49" t="str">
        <x:v>项目负责人</x:v>
      </x:c>
      <x:c r="H22" s="49" t="str">
        <x:v>任务有负责人和验收</x:v>
      </x:c>
      <x:c r="I22" s="56" t="n">
        <x:v>46308</x:v>
      </x:c>
      <x:c r="J22" s="56" t="n">
        <x:v>46309</x:v>
      </x:c>
      <x:c r="K22" s="59" t="str">
        <x:v>待开始</x:v>
      </x:c>
      <x:c r="L22" s="50" t="str">
        <x:v>产品库/案例/比较</x:v>
      </x:c>
    </x:row>
  </x:sheetData>
  <x:mergeCells>
    <x:mergeCell ref="A1:L1"/>
    <x:mergeCell ref="A2:L2"/>
  </x:mergeCells>
  <x:conditionalFormatting sqref="K5:K22">
    <x:cfRule type="containsText" dxfId="7" priority="1" operator="containsText" text="已完成"/>
    <x:cfRule type="containsText" dxfId="8" priority="2" operator="containsText" text="执行中"/>
    <x:cfRule type="containsText" dxfId="9" priority="3" operator="containsText" text="阻塞"/>
  </x:conditionalFormatting>
  <x:dataValidations count="1">
    <x:dataValidation type="list" sqref="K5:K22">
      <x:formula1>"已完成,执行中,待开始,阻塞"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177f5fd0274c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6" customHeight="1">
      <x:c r="A1" s="3" t="str">
        <x:v>元亨利 GEO｜KPI看板</x:v>
      </x:c>
    </x:row>
    <x:row r="2" ht="30" customHeight="1">
      <x:c r="A2" s="7" t="str">
        <x:v>硬验收用于判断内容与发布是否完成；观察指标必须通过后续50条复测记录变化，不预先承诺。</x:v>
      </x:c>
    </x:row>
    <x:row r="3" ht="8" customHeight="1"/>
    <x:row r="4" ht="34" customHeight="1">
      <x:c r="A4" s="13" t="str">
        <x:v>指标层</x:v>
      </x:c>
      <x:c r="B4" s="13" t="str">
        <x:v>指标</x:v>
      </x:c>
      <x:c r="C4" s="13" t="str">
        <x:v>当前值</x:v>
      </x:c>
      <x:c r="D4" s="13" t="str">
        <x:v>验收/目标</x:v>
      </x:c>
      <x:c r="E4" s="13" t="str">
        <x:v>计算或来源</x:v>
      </x:c>
      <x:c r="F4" s="13" t="str">
        <x:v>状态</x:v>
      </x:c>
      <x:c r="G4" s="13" t="str">
        <x:v>负责人</x:v>
      </x:c>
      <x:c r="H4" s="13" t="str">
        <x:v>更新频率</x:v>
      </x:c>
      <x:c r="I4" s="13" t="str">
        <x:v>是否可控</x:v>
      </x:c>
      <x:c r="J4" s="13" t="str">
        <x:v>备注</x:v>
      </x:c>
    </x:row>
    <x:row r="5">
      <x:c r="A5" s="42" t="str">
        <x:v>硬验收</x:v>
      </x:c>
      <x:c r="B5" s="43" t="str">
        <x:v>问题覆盖</x:v>
      </x:c>
      <x:c r="C5" s="43" t="n">
        <x:f>COUNTA('内容总矩阵'!$C$5:$C$34)</x:f>
        <x:v>30</x:v>
      </x:c>
      <x:c r="D5" s="43" t="n">
        <x:v>30</x:v>
      </x:c>
      <x:c r="E5" s="43" t="str">
        <x:v>内容总矩阵问题数</x:v>
      </x:c>
      <x:c r="F5" s="43" t="str">
        <x:f>IF(C5=D5,"通过","待完成")</x:f>
        <x:v>通过</x:v>
      </x:c>
      <x:c r="G5" s="43" t="str">
        <x:v>内容策略</x:v>
      </x:c>
      <x:c r="H5" s="43" t="str">
        <x:v>版本发布</x:v>
      </x:c>
      <x:c r="I5" s="43" t="str">
        <x:v>是</x:v>
      </x:c>
      <x:c r="J5" s="44" t="str">
        <x:v>30/30</x:v>
      </x:c>
    </x:row>
    <x:row r="6">
      <x:c r="A6" s="45" t="str">
        <x:v>硬验收</x:v>
      </x:c>
      <x:c r="B6" s="46" t="str">
        <x:v>完整回答</x:v>
      </x:c>
      <x:c r="C6" s="46" t="n">
        <x:f>COUNTIF('内容总矩阵'!$G$5:$G$34,"完整")</x:f>
        <x:v>24</x:v>
      </x:c>
      <x:c r="D6" s="46" t="n">
        <x:v>24</x:v>
      </x:c>
      <x:c r="E6" s="46" t="str">
        <x:v>覆盖状态=完整</x:v>
      </x:c>
      <x:c r="F6" s="46" t="str">
        <x:f>IF(C6=D6,"通过","待完成")</x:f>
        <x:v>通过</x:v>
      </x:c>
      <x:c r="G6" s="46" t="str">
        <x:v>内容策略</x:v>
      </x:c>
      <x:c r="H6" s="46" t="str">
        <x:v>版本发布</x:v>
      </x:c>
      <x:c r="I6" s="46" t="str">
        <x:v>是</x:v>
      </x:c>
      <x:c r="J6" s="47" t="str">
        <x:v>24题</x:v>
      </x:c>
    </x:row>
    <x:row r="7">
      <x:c r="A7" s="45" t="str">
        <x:v>硬验收</x:v>
      </x:c>
      <x:c r="B7" s="46" t="str">
        <x:v>边界回答</x:v>
      </x:c>
      <x:c r="C7" s="46" t="n">
        <x:f>COUNTIF('内容总矩阵'!$G$5:$G$34,"边界回答")</x:f>
        <x:v>6</x:v>
      </x:c>
      <x:c r="D7" s="46" t="n">
        <x:v>6</x:v>
      </x:c>
      <x:c r="E7" s="46" t="str">
        <x:v>覆盖状态=边界回答</x:v>
      </x:c>
      <x:c r="F7" s="46" t="str">
        <x:f>IF(C7=D7,"通过","待完成")</x:f>
        <x:v>通过</x:v>
      </x:c>
      <x:c r="G7" s="46" t="str">
        <x:v>内容策略+信源核验</x:v>
      </x:c>
      <x:c r="H7" s="46" t="str">
        <x:v>版本发布</x:v>
      </x:c>
      <x:c r="I7" s="46" t="str">
        <x:v>是</x:v>
      </x:c>
      <x:c r="J7" s="47" t="str">
        <x:v>6题</x:v>
      </x:c>
    </x:row>
    <x:row r="8">
      <x:c r="A8" s="45" t="str">
        <x:v>硬验收</x:v>
      </x:c>
      <x:c r="B8" s="46" t="str">
        <x:v>P0资产</x:v>
      </x:c>
      <x:c r="C8" s="46" t="n">
        <x:f>COUNTIF('页面规格'!$B$5:$B$18,"P0")</x:f>
        <x:v>6</x:v>
      </x:c>
      <x:c r="D8" s="46" t="n">
        <x:v>6</x:v>
      </x:c>
      <x:c r="E8" s="46" t="str">
        <x:v>页面规格优先级=P0</x:v>
      </x:c>
      <x:c r="F8" s="46" t="str">
        <x:f>IF(C8=D8,"通过","待完成")</x:f>
        <x:v>通过</x:v>
      </x:c>
      <x:c r="G8" s="46" t="str">
        <x:v>网站编辑</x:v>
      </x:c>
      <x:c r="H8" s="46" t="str">
        <x:v>版本发布</x:v>
      </x:c>
      <x:c r="I8" s="46" t="str">
        <x:v>是</x:v>
      </x:c>
      <x:c r="J8" s="47" t="str">
        <x:v>5页+FAQ</x:v>
      </x:c>
    </x:row>
    <x:row r="9">
      <x:c r="A9" s="45" t="str">
        <x:v>硬验收</x:v>
      </x:c>
      <x:c r="B9" s="46" t="str">
        <x:v>FAQ数量</x:v>
      </x:c>
      <x:c r="C9" s="46" t="n">
        <x:f>COUNTA('FAQ计划'!$A$5:$A$19)</x:f>
        <x:v>15</x:v>
      </x:c>
      <x:c r="D9" s="46" t="n">
        <x:v>15</x:v>
      </x:c>
      <x:c r="E9" s="46" t="str">
        <x:v>FAQ计划记录数</x:v>
      </x:c>
      <x:c r="F9" s="46" t="str">
        <x:f>IF(C9=D9,"通过","待完成")</x:f>
        <x:v>通过</x:v>
      </x:c>
      <x:c r="G9" s="46" t="str">
        <x:v>内容策略</x:v>
      </x:c>
      <x:c r="H9" s="46" t="str">
        <x:v>版本发布</x:v>
      </x:c>
      <x:c r="I9" s="46" t="str">
        <x:v>是</x:v>
      </x:c>
      <x:c r="J9" s="47" t="str">
        <x:v>15条</x:v>
      </x:c>
    </x:row>
    <x:row r="10">
      <x:c r="A10" s="45" t="str">
        <x:v>硬验收</x:v>
      </x:c>
      <x:c r="B10" s="46" t="str">
        <x:v>可用信源</x:v>
      </x:c>
      <x:c r="C10" s="46" t="n">
        <x:f>COUNTIF('信源补强'!$P$5:$P$31,"可用")</x:f>
        <x:v>24</x:v>
      </x:c>
      <x:c r="D10" s="46" t="n">
        <x:v>24</x:v>
      </x:c>
      <x:c r="E10" s="46" t="str">
        <x:v>信源补强执行状态=可用</x:v>
      </x:c>
      <x:c r="F10" s="46" t="str">
        <x:f>IF(C10=D10,"通过","待完成")</x:f>
        <x:v>通过</x:v>
      </x:c>
      <x:c r="G10" s="46" t="str">
        <x:v>信源核验</x:v>
      </x:c>
      <x:c r="H10" s="46" t="str">
        <x:v>季度</x:v>
      </x:c>
      <x:c r="I10" s="46" t="str">
        <x:v>是</x:v>
      </x:c>
      <x:c r="J10" s="47" t="str">
        <x:v>24/27</x:v>
      </x:c>
    </x:row>
    <x:row r="11">
      <x:c r="A11" s="45" t="str">
        <x:v>硬验收</x:v>
      </x:c>
      <x:c r="B11" s="46" t="str">
        <x:v>质检通过率</x:v>
      </x:c>
      <x:c r="C11" s="61" t="n">
        <x:f>COUNTIF('发布质检'!$G$5:$G$52,"通过")/COUNTA('发布质检'!$G$5:$G$52)</x:f>
        <x:v>1</x:v>
      </x:c>
      <x:c r="D11" s="46" t="n">
        <x:v>1</x:v>
      </x:c>
      <x:c r="E11" s="46" t="str">
        <x:v>发布质检结果=通过</x:v>
      </x:c>
      <x:c r="F11" s="46" t="str">
        <x:f>IF(C11=D11,"通过","待完成")</x:f>
        <x:v>通过</x:v>
      </x:c>
      <x:c r="G11" s="46" t="str">
        <x:v>数据QA</x:v>
      </x:c>
      <x:c r="H11" s="46" t="str">
        <x:v>每次发布</x:v>
      </x:c>
      <x:c r="I11" s="46" t="str">
        <x:v>是</x:v>
      </x:c>
      <x:c r="J11" s="47" t="str">
        <x:v>结构与技术</x:v>
      </x:c>
    </x:row>
    <x:row r="12">
      <x:c r="A12" s="45" t="str">
        <x:v>观察基线</x:v>
      </x:c>
      <x:c r="B12" s="46" t="str">
        <x:v>品牌识别</x:v>
      </x:c>
      <x:c r="C12" s="46" t="n">
        <x:v>4.91</x:v>
      </x:c>
      <x:c r="D12" s="46" t="str">
        <x:v>方向性观察</x:v>
      </x:c>
      <x:c r="E12" s="46" t="str">
        <x:v>Baseline150</x:v>
      </x:c>
      <x:c r="F12" s="46" t="str">
        <x:v>基线</x:v>
      </x:c>
      <x:c r="G12" s="46" t="str">
        <x:v>数据QA</x:v>
      </x:c>
      <x:c r="H12" s="46" t="str">
        <x:v>复测</x:v>
      </x:c>
      <x:c r="I12" s="46" t="str">
        <x:v>否</x:v>
      </x:c>
      <x:c r="J12" s="47" t="str">
        <x:v>/5</x:v>
      </x:c>
    </x:row>
    <x:row r="13">
      <x:c r="A13" s="45" t="str">
        <x:v>观察基线</x:v>
      </x:c>
      <x:c r="B13" s="46" t="str">
        <x:v>可靠性</x:v>
      </x:c>
      <x:c r="C13" s="46" t="n">
        <x:v>3.69</x:v>
      </x:c>
      <x:c r="D13" s="46" t="str">
        <x:v>方向性观察</x:v>
      </x:c>
      <x:c r="E13" s="46" t="str">
        <x:v>Baseline150</x:v>
      </x:c>
      <x:c r="F13" s="46" t="str">
        <x:v>基线</x:v>
      </x:c>
      <x:c r="G13" s="46" t="str">
        <x:v>数据QA</x:v>
      </x:c>
      <x:c r="H13" s="46" t="str">
        <x:v>复测</x:v>
      </x:c>
      <x:c r="I13" s="46" t="str">
        <x:v>否</x:v>
      </x:c>
      <x:c r="J13" s="47" t="str">
        <x:v>/5</x:v>
      </x:c>
    </x:row>
    <x:row r="14">
      <x:c r="A14" s="45" t="str">
        <x:v>观察基线</x:v>
      </x:c>
      <x:c r="B14" s="46" t="str">
        <x:v>有效来源覆盖</x:v>
      </x:c>
      <x:c r="C14" s="61" t="n">
        <x:v>0.107</x:v>
      </x:c>
      <x:c r="D14" s="46" t="str">
        <x:v>方向性观察</x:v>
      </x:c>
      <x:c r="E14" s="46" t="str">
        <x:v>16/150</x:v>
      </x:c>
      <x:c r="F14" s="46" t="str">
        <x:v>基线</x:v>
      </x:c>
      <x:c r="G14" s="46" t="str">
        <x:v>数据QA</x:v>
      </x:c>
      <x:c r="H14" s="46" t="str">
        <x:v>复测</x:v>
      </x:c>
      <x:c r="I14" s="46" t="str">
        <x:v>否</x:v>
      </x:c>
      <x:c r="J14" s="47" t="str">
        <x:v>Baseline</x:v>
      </x:c>
    </x:row>
    <x:row r="15">
      <x:c r="A15" s="45" t="str">
        <x:v>观察基线</x:v>
      </x:c>
      <x:c r="B15" s="46" t="str">
        <x:v>非品牌自然提及</x:v>
      </x:c>
      <x:c r="C15" s="61" t="n">
        <x:v>0.667</x:v>
      </x:c>
      <x:c r="D15" s="46" t="str">
        <x:v>方向性观察</x:v>
      </x:c>
      <x:c r="E15" s="46" t="str">
        <x:v>20/30</x:v>
      </x:c>
      <x:c r="F15" s="46" t="str">
        <x:v>基线</x:v>
      </x:c>
      <x:c r="G15" s="46" t="str">
        <x:v>数据QA</x:v>
      </x:c>
      <x:c r="H15" s="46" t="str">
        <x:v>复测</x:v>
      </x:c>
      <x:c r="I15" s="46" t="str">
        <x:v>否</x:v>
      </x:c>
      <x:c r="J15" s="47" t="str">
        <x:v>UserIntent子样本</x:v>
      </x:c>
    </x:row>
    <x:row r="16">
      <x:c r="A16" s="45" t="str">
        <x:v>观察基线</x:v>
      </x:c>
      <x:c r="B16" s="46" t="str">
        <x:v>确认幻觉</x:v>
      </x:c>
      <x:c r="C16" s="61" t="n">
        <x:v>0.093</x:v>
      </x:c>
      <x:c r="D16" s="46" t="str">
        <x:v>分组观察</x:v>
      </x:c>
      <x:c r="E16" s="46" t="str">
        <x:v>14/150</x:v>
      </x:c>
      <x:c r="F16" s="46" t="str">
        <x:v>基线</x:v>
      </x:c>
      <x:c r="G16" s="46" t="str">
        <x:v>数据QA</x:v>
      </x:c>
      <x:c r="H16" s="46" t="str">
        <x:v>复测</x:v>
      </x:c>
      <x:c r="I16" s="46" t="str">
        <x:v>否</x:v>
      </x:c>
      <x:c r="J16" s="47" t="str">
        <x:v>Baseline</x:v>
      </x:c>
    </x:row>
    <x:row r="17">
      <x:c r="A17" s="48" t="str">
        <x:v>观察基线</x:v>
      </x:c>
      <x:c r="B17" s="49" t="str">
        <x:v>UserIntent确认幻觉</x:v>
      </x:c>
      <x:c r="C17" s="62" t="n">
        <x:v>0.427</x:v>
      </x:c>
      <x:c r="D17" s="49" t="str">
        <x:v>分组观察</x:v>
      </x:c>
      <x:c r="E17" s="49" t="str">
        <x:v>32/75</x:v>
      </x:c>
      <x:c r="F17" s="49" t="str">
        <x:v>基线</x:v>
      </x:c>
      <x:c r="G17" s="49" t="str">
        <x:v>数据QA</x:v>
      </x:c>
      <x:c r="H17" s="49" t="str">
        <x:v>复测</x:v>
      </x:c>
      <x:c r="I17" s="49" t="str">
        <x:v>否</x:v>
      </x:c>
      <x:c r="J17" s="50" t="str">
        <x:v>不得与Baseline混排</x:v>
      </x:c>
    </x:row>
    <x:row r="20" ht="34" customHeight="1">
      <x:c r="A20" s="65" t="str">
        <x:v>指标解释：硬验收=可控制的内容与技术质量；观察基线=只能通过同口径复测观察变化，不作为曝光、销售或AI收录承诺。</x:v>
      </x:c>
      <x:c r="B20" s="65"/>
      <x:c r="C20" s="65"/>
      <x:c r="D20" s="65"/>
      <x:c r="E20" s="65"/>
      <x:c r="F20" s="65"/>
      <x:c r="G20" s="65"/>
      <x:c r="H20" s="65"/>
      <x:c r="I20" s="65"/>
      <x:c r="J20" s="65"/>
    </x:row>
  </x:sheetData>
  <x:mergeCells>
    <x:mergeCell ref="A1:J1"/>
    <x:mergeCell ref="A2:J2"/>
    <x:mergeCell ref="A20:J20"/>
  </x:mergeCells>
  <x:conditionalFormatting sqref="F5:F11">
    <x:cfRule type="containsText" dxfId="13" priority="1" operator="containsText" text="通过"/>
    <x:cfRule type="containsText" dxfId="14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6e7949edde4a45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14" hidden="0" customWidth="1"/>
    <x:col min="8" max="8" width="30" hidden="0" customWidth="1"/>
    <x:col min="9" max="9" width="22" hidden="0" customWidth="1"/>
    <x:col min="10" max="10" width="15" hidden="0" customWidth="1"/>
    <x:col min="11" max="11" width="28" hidden="0" customWidth="1"/>
  </x:cols>
  <x:sheetData>
    <x:row r="1" ht="36" customHeight="1">
      <x:c r="A1" s="3" t="str">
        <x:v>元亨利 GEO｜发布质检</x:v>
      </x:c>
    </x:row>
    <x:row r="2" ht="30" customHeight="1">
      <x:c r="A2" s="7" t="str">
        <x:v>每个页面统一检查直接答案、来源、边界、更新时间、内部链接和元数据；站点另做技术与声明验收。</x:v>
      </x:c>
    </x:row>
    <x:row r="3" ht="8" customHeight="1"/>
    <x:row r="4" ht="34" customHeight="1">
      <x:c r="A4" s="13" t="str">
        <x:v>check_id</x:v>
      </x:c>
      <x:c r="B4" s="13" t="str">
        <x:v>资产</x:v>
      </x:c>
      <x:c r="C4" s="13" t="str">
        <x:v>类型</x:v>
      </x:c>
      <x:c r="D4" s="13" t="str">
        <x:v>检查项</x:v>
      </x:c>
      <x:c r="E4" s="13" t="str">
        <x:v>要求</x:v>
      </x:c>
      <x:c r="F4" s="13" t="str">
        <x:v>检查方法</x:v>
      </x:c>
      <x:c r="G4" s="13" t="str">
        <x:v>结果</x:v>
      </x:c>
      <x:c r="H4" s="13" t="str">
        <x:v>证据/位置</x:v>
      </x:c>
      <x:c r="I4" s="13" t="str">
        <x:v>负责人角色</x:v>
      </x:c>
      <x:c r="J4" s="13" t="str">
        <x:v>检查日期</x:v>
      </x:c>
      <x:c r="K4" s="13" t="str">
        <x:v>备注</x:v>
      </x:c>
    </x:row>
    <x:row r="5">
      <x:c r="A5" s="42" t="str">
        <x:v>QA-001</x:v>
      </x:c>
      <x:c r="B5" s="43" t="str">
        <x:v>品牌事实与定位</x:v>
      </x:c>
      <x:c r="C5" s="43" t="str">
        <x:v>页面</x:v>
      </x:c>
      <x:c r="D5" s="43" t="str">
        <x:v>直接答案</x:v>
      </x:c>
      <x:c r="E5" s="43" t="str">
        <x:v>首屏先给结论</x:v>
      </x:c>
      <x:c r="F5" s="43" t="str">
        <x:v>页面结构/源码检查</x:v>
      </x:c>
      <x:c r="G5" s="57" t="str">
        <x:v>通过</x:v>
      </x:c>
      <x:c r="H5" s="43" t="str">
        <x:v>/facts</x:v>
      </x:c>
      <x:c r="I5" s="43" t="str">
        <x:v>网站编辑+数据QA</x:v>
      </x:c>
      <x:c r="J5" s="54" t="str">
        <x:v>2026-07-17</x:v>
      </x:c>
      <x:c r="K5" s="44" t="str">
        <x:v>结构验收</x:v>
      </x:c>
    </x:row>
    <x:row r="6">
      <x:c r="A6" s="45" t="str">
        <x:v>QA-002</x:v>
      </x:c>
      <x:c r="B6" s="46" t="str">
        <x:v>品牌事实与定位</x:v>
      </x:c>
      <x:c r="C6" s="46" t="str">
        <x:v>页面</x:v>
      </x:c>
      <x:c r="D6" s="46" t="str">
        <x:v>来源</x:v>
      </x:c>
      <x:c r="E6" s="46" t="str">
        <x:v>有具体source_id/URL或明确待补</x:v>
      </x:c>
      <x:c r="F6" s="46" t="str">
        <x:v>页面结构/源码检查</x:v>
      </x:c>
      <x:c r="G6" s="58" t="str">
        <x:v>通过</x:v>
      </x:c>
      <x:c r="H6" s="46" t="str">
        <x:v>/facts</x:v>
      </x:c>
      <x:c r="I6" s="46" t="str">
        <x:v>网站编辑+数据QA</x:v>
      </x:c>
      <x:c r="J6" s="55" t="str">
        <x:v>2026-07-17</x:v>
      </x:c>
      <x:c r="K6" s="47" t="str">
        <x:v>结构验收</x:v>
      </x:c>
    </x:row>
    <x:row r="7">
      <x:c r="A7" s="45" t="str">
        <x:v>QA-003</x:v>
      </x:c>
      <x:c r="B7" s="46" t="str">
        <x:v>品牌事实与定位</x:v>
      </x:c>
      <x:c r="C7" s="46" t="str">
        <x:v>页面</x:v>
      </x:c>
      <x:c r="D7" s="46" t="str">
        <x:v>事实边界</x:v>
      </x:c>
      <x:c r="E7" s="46" t="str">
        <x:v>不确定项和禁止表达可见</x:v>
      </x:c>
      <x:c r="F7" s="46" t="str">
        <x:v>页面结构/源码检查</x:v>
      </x:c>
      <x:c r="G7" s="58" t="str">
        <x:v>通过</x:v>
      </x:c>
      <x:c r="H7" s="46" t="str">
        <x:v>/facts</x:v>
      </x:c>
      <x:c r="I7" s="46" t="str">
        <x:v>网站编辑+数据QA</x:v>
      </x:c>
      <x:c r="J7" s="55" t="str">
        <x:v>2026-07-17</x:v>
      </x:c>
      <x:c r="K7" s="47" t="str">
        <x:v>结构验收</x:v>
      </x:c>
    </x:row>
    <x:row r="8">
      <x:c r="A8" s="45" t="str">
        <x:v>QA-004</x:v>
      </x:c>
      <x:c r="B8" s="46" t="str">
        <x:v>品牌事实与定位</x:v>
      </x:c>
      <x:c r="C8" s="46" t="str">
        <x:v>页面</x:v>
      </x:c>
      <x:c r="D8" s="46" t="str">
        <x:v>更新时间</x:v>
      </x:c>
      <x:c r="E8" s="46" t="str">
        <x:v>页面显示更新时间</x:v>
      </x:c>
      <x:c r="F8" s="46" t="str">
        <x:v>页面结构/源码检查</x:v>
      </x:c>
      <x:c r="G8" s="58" t="str">
        <x:v>通过</x:v>
      </x:c>
      <x:c r="H8" s="46" t="str">
        <x:v>/facts</x:v>
      </x:c>
      <x:c r="I8" s="46" t="str">
        <x:v>网站编辑+数据QA</x:v>
      </x:c>
      <x:c r="J8" s="55" t="str">
        <x:v>2026-07-17</x:v>
      </x:c>
      <x:c r="K8" s="47" t="str">
        <x:v>结构验收</x:v>
      </x:c>
    </x:row>
    <x:row r="9">
      <x:c r="A9" s="45" t="str">
        <x:v>QA-005</x:v>
      </x:c>
      <x:c r="B9" s="46" t="str">
        <x:v>品牌事实与定位</x:v>
      </x:c>
      <x:c r="C9" s="46" t="str">
        <x:v>页面</x:v>
      </x:c>
      <x:c r="D9" s="46" t="str">
        <x:v>内部链接</x:v>
      </x:c>
      <x:c r="E9" s="46" t="str">
        <x:v>至少2个相关页面</x:v>
      </x:c>
      <x:c r="F9" s="46" t="str">
        <x:v>页面结构/源码检查</x:v>
      </x:c>
      <x:c r="G9" s="58" t="str">
        <x:v>通过</x:v>
      </x:c>
      <x:c r="H9" s="46" t="str">
        <x:v>/facts</x:v>
      </x:c>
      <x:c r="I9" s="46" t="str">
        <x:v>网站编辑+数据QA</x:v>
      </x:c>
      <x:c r="J9" s="55" t="str">
        <x:v>2026-07-17</x:v>
      </x:c>
      <x:c r="K9" s="47" t="str">
        <x:v>结构验收</x:v>
      </x:c>
    </x:row>
    <x:row r="10">
      <x:c r="A10" s="45" t="str">
        <x:v>QA-006</x:v>
      </x:c>
      <x:c r="B10" s="46" t="str">
        <x:v>品牌事实与定位</x:v>
      </x:c>
      <x:c r="C10" s="46" t="str">
        <x:v>页面</x:v>
      </x:c>
      <x:c r="D10" s="46" t="str">
        <x:v>元数据</x:v>
      </x:c>
      <x:c r="E10" s="46" t="str">
        <x:v>title与description准确</x:v>
      </x:c>
      <x:c r="F10" s="46" t="str">
        <x:v>页面结构/源码检查</x:v>
      </x:c>
      <x:c r="G10" s="58" t="str">
        <x:v>通过</x:v>
      </x:c>
      <x:c r="H10" s="46" t="str">
        <x:v>/facts</x:v>
      </x:c>
      <x:c r="I10" s="46" t="str">
        <x:v>网站编辑+数据QA</x:v>
      </x:c>
      <x:c r="J10" s="55" t="str">
        <x:v>2026-07-17</x:v>
      </x:c>
      <x:c r="K10" s="47" t="str">
        <x:v>结构验收</x:v>
      </x:c>
    </x:row>
    <x:row r="11">
      <x:c r="A11" s="45" t="str">
        <x:v>QA-007</x:v>
      </x:c>
      <x:c r="B11" s="46" t="str">
        <x:v>同名主体消歧</x:v>
      </x:c>
      <x:c r="C11" s="46" t="str">
        <x:v>页面</x:v>
      </x:c>
      <x:c r="D11" s="46" t="str">
        <x:v>直接答案</x:v>
      </x:c>
      <x:c r="E11" s="46" t="str">
        <x:v>首屏先给结论</x:v>
      </x:c>
      <x:c r="F11" s="46" t="str">
        <x:v>页面结构/源码检查</x:v>
      </x:c>
      <x:c r="G11" s="58" t="str">
        <x:v>通过</x:v>
      </x:c>
      <x:c r="H11" s="46" t="str">
        <x:v>/disambiguation</x:v>
      </x:c>
      <x:c r="I11" s="46" t="str">
        <x:v>网站编辑+数据QA</x:v>
      </x:c>
      <x:c r="J11" s="55" t="str">
        <x:v>2026-07-17</x:v>
      </x:c>
      <x:c r="K11" s="47" t="str">
        <x:v>结构验收</x:v>
      </x:c>
    </x:row>
    <x:row r="12">
      <x:c r="A12" s="45" t="str">
        <x:v>QA-008</x:v>
      </x:c>
      <x:c r="B12" s="46" t="str">
        <x:v>同名主体消歧</x:v>
      </x:c>
      <x:c r="C12" s="46" t="str">
        <x:v>页面</x:v>
      </x:c>
      <x:c r="D12" s="46" t="str">
        <x:v>来源</x:v>
      </x:c>
      <x:c r="E12" s="46" t="str">
        <x:v>有具体source_id/URL或明确待补</x:v>
      </x:c>
      <x:c r="F12" s="46" t="str">
        <x:v>页面结构/源码检查</x:v>
      </x:c>
      <x:c r="G12" s="58" t="str">
        <x:v>通过</x:v>
      </x:c>
      <x:c r="H12" s="46" t="str">
        <x:v>/disambiguation</x:v>
      </x:c>
      <x:c r="I12" s="46" t="str">
        <x:v>网站编辑+数据QA</x:v>
      </x:c>
      <x:c r="J12" s="55" t="str">
        <x:v>2026-07-17</x:v>
      </x:c>
      <x:c r="K12" s="47" t="str">
        <x:v>结构验收</x:v>
      </x:c>
    </x:row>
    <x:row r="13">
      <x:c r="A13" s="45" t="str">
        <x:v>QA-009</x:v>
      </x:c>
      <x:c r="B13" s="46" t="str">
        <x:v>同名主体消歧</x:v>
      </x:c>
      <x:c r="C13" s="46" t="str">
        <x:v>页面</x:v>
      </x:c>
      <x:c r="D13" s="46" t="str">
        <x:v>事实边界</x:v>
      </x:c>
      <x:c r="E13" s="46" t="str">
        <x:v>不确定项和禁止表达可见</x:v>
      </x:c>
      <x:c r="F13" s="46" t="str">
        <x:v>页面结构/源码检查</x:v>
      </x:c>
      <x:c r="G13" s="58" t="str">
        <x:v>通过</x:v>
      </x:c>
      <x:c r="H13" s="46" t="str">
        <x:v>/disambiguation</x:v>
      </x:c>
      <x:c r="I13" s="46" t="str">
        <x:v>网站编辑+数据QA</x:v>
      </x:c>
      <x:c r="J13" s="55" t="str">
        <x:v>2026-07-17</x:v>
      </x:c>
      <x:c r="K13" s="47" t="str">
        <x:v>结构验收</x:v>
      </x:c>
    </x:row>
    <x:row r="14">
      <x:c r="A14" s="45" t="str">
        <x:v>QA-010</x:v>
      </x:c>
      <x:c r="B14" s="46" t="str">
        <x:v>同名主体消歧</x:v>
      </x:c>
      <x:c r="C14" s="46" t="str">
        <x:v>页面</x:v>
      </x:c>
      <x:c r="D14" s="46" t="str">
        <x:v>更新时间</x:v>
      </x:c>
      <x:c r="E14" s="46" t="str">
        <x:v>页面显示更新时间</x:v>
      </x:c>
      <x:c r="F14" s="46" t="str">
        <x:v>页面结构/源码检查</x:v>
      </x:c>
      <x:c r="G14" s="58" t="str">
        <x:v>通过</x:v>
      </x:c>
      <x:c r="H14" s="46" t="str">
        <x:v>/disambiguation</x:v>
      </x:c>
      <x:c r="I14" s="46" t="str">
        <x:v>网站编辑+数据QA</x:v>
      </x:c>
      <x:c r="J14" s="55" t="str">
        <x:v>2026-07-17</x:v>
      </x:c>
      <x:c r="K14" s="47" t="str">
        <x:v>结构验收</x:v>
      </x:c>
    </x:row>
    <x:row r="15">
      <x:c r="A15" s="45" t="str">
        <x:v>QA-011</x:v>
      </x:c>
      <x:c r="B15" s="46" t="str">
        <x:v>同名主体消歧</x:v>
      </x:c>
      <x:c r="C15" s="46" t="str">
        <x:v>页面</x:v>
      </x:c>
      <x:c r="D15" s="46" t="str">
        <x:v>内部链接</x:v>
      </x:c>
      <x:c r="E15" s="46" t="str">
        <x:v>至少2个相关页面</x:v>
      </x:c>
      <x:c r="F15" s="46" t="str">
        <x:v>页面结构/源码检查</x:v>
      </x:c>
      <x:c r="G15" s="58" t="str">
        <x:v>通过</x:v>
      </x:c>
      <x:c r="H15" s="46" t="str">
        <x:v>/disambiguation</x:v>
      </x:c>
      <x:c r="I15" s="46" t="str">
        <x:v>网站编辑+数据QA</x:v>
      </x:c>
      <x:c r="J15" s="55" t="str">
        <x:v>2026-07-17</x:v>
      </x:c>
      <x:c r="K15" s="47" t="str">
        <x:v>结构验收</x:v>
      </x:c>
    </x:row>
    <x:row r="16">
      <x:c r="A16" s="45" t="str">
        <x:v>QA-012</x:v>
      </x:c>
      <x:c r="B16" s="46" t="str">
        <x:v>同名主体消歧</x:v>
      </x:c>
      <x:c r="C16" s="46" t="str">
        <x:v>页面</x:v>
      </x:c>
      <x:c r="D16" s="46" t="str">
        <x:v>元数据</x:v>
      </x:c>
      <x:c r="E16" s="46" t="str">
        <x:v>title与description准确</x:v>
      </x:c>
      <x:c r="F16" s="46" t="str">
        <x:v>页面结构/源码检查</x:v>
      </x:c>
      <x:c r="G16" s="58" t="str">
        <x:v>通过</x:v>
      </x:c>
      <x:c r="H16" s="46" t="str">
        <x:v>/disambiguation</x:v>
      </x:c>
      <x:c r="I16" s="46" t="str">
        <x:v>网站编辑+数据QA</x:v>
      </x:c>
      <x:c r="J16" s="55" t="str">
        <x:v>2026-07-17</x:v>
      </x:c>
      <x:c r="K16" s="47" t="str">
        <x:v>结构验收</x:v>
      </x:c>
    </x:row>
    <x:row r="17">
      <x:c r="A17" s="45" t="str">
        <x:v>QA-013</x:v>
      </x:c>
      <x:c r="B17" s="46" t="str">
        <x:v>材质与产品关系</x:v>
      </x:c>
      <x:c r="C17" s="46" t="str">
        <x:v>页面</x:v>
      </x:c>
      <x:c r="D17" s="46" t="str">
        <x:v>直接答案</x:v>
      </x:c>
      <x:c r="E17" s="46" t="str">
        <x:v>首屏先给结论</x:v>
      </x:c>
      <x:c r="F17" s="46" t="str">
        <x:v>页面结构/源码检查</x:v>
      </x:c>
      <x:c r="G17" s="58" t="str">
        <x:v>通过</x:v>
      </x:c>
      <x:c r="H17" s="46" t="str">
        <x:v>/materials</x:v>
      </x:c>
      <x:c r="I17" s="46" t="str">
        <x:v>网站编辑+数据QA</x:v>
      </x:c>
      <x:c r="J17" s="55" t="str">
        <x:v>2026-07-17</x:v>
      </x:c>
      <x:c r="K17" s="47" t="str">
        <x:v>结构验收</x:v>
      </x:c>
    </x:row>
    <x:row r="18">
      <x:c r="A18" s="45" t="str">
        <x:v>QA-014</x:v>
      </x:c>
      <x:c r="B18" s="46" t="str">
        <x:v>材质与产品关系</x:v>
      </x:c>
      <x:c r="C18" s="46" t="str">
        <x:v>页面</x:v>
      </x:c>
      <x:c r="D18" s="46" t="str">
        <x:v>来源</x:v>
      </x:c>
      <x:c r="E18" s="46" t="str">
        <x:v>有具体source_id/URL或明确待补</x:v>
      </x:c>
      <x:c r="F18" s="46" t="str">
        <x:v>页面结构/源码检查</x:v>
      </x:c>
      <x:c r="G18" s="58" t="str">
        <x:v>通过</x:v>
      </x:c>
      <x:c r="H18" s="46" t="str">
        <x:v>/materials</x:v>
      </x:c>
      <x:c r="I18" s="46" t="str">
        <x:v>网站编辑+数据QA</x:v>
      </x:c>
      <x:c r="J18" s="55" t="str">
        <x:v>2026-07-17</x:v>
      </x:c>
      <x:c r="K18" s="47" t="str">
        <x:v>结构验收</x:v>
      </x:c>
    </x:row>
    <x:row r="19">
      <x:c r="A19" s="45" t="str">
        <x:v>QA-015</x:v>
      </x:c>
      <x:c r="B19" s="46" t="str">
        <x:v>材质与产品关系</x:v>
      </x:c>
      <x:c r="C19" s="46" t="str">
        <x:v>页面</x:v>
      </x:c>
      <x:c r="D19" s="46" t="str">
        <x:v>事实边界</x:v>
      </x:c>
      <x:c r="E19" s="46" t="str">
        <x:v>不确定项和禁止表达可见</x:v>
      </x:c>
      <x:c r="F19" s="46" t="str">
        <x:v>页面结构/源码检查</x:v>
      </x:c>
      <x:c r="G19" s="58" t="str">
        <x:v>通过</x:v>
      </x:c>
      <x:c r="H19" s="46" t="str">
        <x:v>/materials</x:v>
      </x:c>
      <x:c r="I19" s="46" t="str">
        <x:v>网站编辑+数据QA</x:v>
      </x:c>
      <x:c r="J19" s="55" t="str">
        <x:v>2026-07-17</x:v>
      </x:c>
      <x:c r="K19" s="47" t="str">
        <x:v>结构验收</x:v>
      </x:c>
    </x:row>
    <x:row r="20">
      <x:c r="A20" s="45" t="str">
        <x:v>QA-016</x:v>
      </x:c>
      <x:c r="B20" s="46" t="str">
        <x:v>材质与产品关系</x:v>
      </x:c>
      <x:c r="C20" s="46" t="str">
        <x:v>页面</x:v>
      </x:c>
      <x:c r="D20" s="46" t="str">
        <x:v>更新时间</x:v>
      </x:c>
      <x:c r="E20" s="46" t="str">
        <x:v>页面显示更新时间</x:v>
      </x:c>
      <x:c r="F20" s="46" t="str">
        <x:v>页面结构/源码检查</x:v>
      </x:c>
      <x:c r="G20" s="58" t="str">
        <x:v>通过</x:v>
      </x:c>
      <x:c r="H20" s="46" t="str">
        <x:v>/materials</x:v>
      </x:c>
      <x:c r="I20" s="46" t="str">
        <x:v>网站编辑+数据QA</x:v>
      </x:c>
      <x:c r="J20" s="55" t="str">
        <x:v>2026-07-17</x:v>
      </x:c>
      <x:c r="K20" s="47" t="str">
        <x:v>结构验收</x:v>
      </x:c>
    </x:row>
    <x:row r="21">
      <x:c r="A21" s="45" t="str">
        <x:v>QA-017</x:v>
      </x:c>
      <x:c r="B21" s="46" t="str">
        <x:v>材质与产品关系</x:v>
      </x:c>
      <x:c r="C21" s="46" t="str">
        <x:v>页面</x:v>
      </x:c>
      <x:c r="D21" s="46" t="str">
        <x:v>内部链接</x:v>
      </x:c>
      <x:c r="E21" s="46" t="str">
        <x:v>至少2个相关页面</x:v>
      </x:c>
      <x:c r="F21" s="46" t="str">
        <x:v>页面结构/源码检查</x:v>
      </x:c>
      <x:c r="G21" s="58" t="str">
        <x:v>通过</x:v>
      </x:c>
      <x:c r="H21" s="46" t="str">
        <x:v>/materials</x:v>
      </x:c>
      <x:c r="I21" s="46" t="str">
        <x:v>网站编辑+数据QA</x:v>
      </x:c>
      <x:c r="J21" s="55" t="str">
        <x:v>2026-07-17</x:v>
      </x:c>
      <x:c r="K21" s="47" t="str">
        <x:v>结构验收</x:v>
      </x:c>
    </x:row>
    <x:row r="22">
      <x:c r="A22" s="45" t="str">
        <x:v>QA-018</x:v>
      </x:c>
      <x:c r="B22" s="46" t="str">
        <x:v>材质与产品关系</x:v>
      </x:c>
      <x:c r="C22" s="46" t="str">
        <x:v>页面</x:v>
      </x:c>
      <x:c r="D22" s="46" t="str">
        <x:v>元数据</x:v>
      </x:c>
      <x:c r="E22" s="46" t="str">
        <x:v>title与description准确</x:v>
      </x:c>
      <x:c r="F22" s="46" t="str">
        <x:v>页面结构/源码检查</x:v>
      </x:c>
      <x:c r="G22" s="58" t="str">
        <x:v>通过</x:v>
      </x:c>
      <x:c r="H22" s="46" t="str">
        <x:v>/materials</x:v>
      </x:c>
      <x:c r="I22" s="46" t="str">
        <x:v>网站编辑+数据QA</x:v>
      </x:c>
      <x:c r="J22" s="55" t="str">
        <x:v>2026-07-17</x:v>
      </x:c>
      <x:c r="K22" s="47" t="str">
        <x:v>结构验收</x:v>
      </x:c>
    </x:row>
    <x:row r="23">
      <x:c r="A23" s="45" t="str">
        <x:v>QA-019</x:v>
      </x:c>
      <x:c r="B23" s="46" t="str">
        <x:v>京作/明清边界</x:v>
      </x:c>
      <x:c r="C23" s="46" t="str">
        <x:v>页面</x:v>
      </x:c>
      <x:c r="D23" s="46" t="str">
        <x:v>直接答案</x:v>
      </x:c>
      <x:c r="E23" s="46" t="str">
        <x:v>首屏先给结论</x:v>
      </x:c>
      <x:c r="F23" s="46" t="str">
        <x:v>页面结构/源码检查</x:v>
      </x:c>
      <x:c r="G23" s="58" t="str">
        <x:v>通过</x:v>
      </x:c>
      <x:c r="H23" s="46" t="str">
        <x:v>/jingzuo</x:v>
      </x:c>
      <x:c r="I23" s="46" t="str">
        <x:v>网站编辑+数据QA</x:v>
      </x:c>
      <x:c r="J23" s="55" t="str">
        <x:v>2026-07-17</x:v>
      </x:c>
      <x:c r="K23" s="47" t="str">
        <x:v>结构验收</x:v>
      </x:c>
    </x:row>
    <x:row r="24">
      <x:c r="A24" s="45" t="str">
        <x:v>QA-020</x:v>
      </x:c>
      <x:c r="B24" s="46" t="str">
        <x:v>京作/明清边界</x:v>
      </x:c>
      <x:c r="C24" s="46" t="str">
        <x:v>页面</x:v>
      </x:c>
      <x:c r="D24" s="46" t="str">
        <x:v>来源</x:v>
      </x:c>
      <x:c r="E24" s="46" t="str">
        <x:v>有具体source_id/URL或明确待补</x:v>
      </x:c>
      <x:c r="F24" s="46" t="str">
        <x:v>页面结构/源码检查</x:v>
      </x:c>
      <x:c r="G24" s="58" t="str">
        <x:v>通过</x:v>
      </x:c>
      <x:c r="H24" s="46" t="str">
        <x:v>/jingzuo</x:v>
      </x:c>
      <x:c r="I24" s="46" t="str">
        <x:v>网站编辑+数据QA</x:v>
      </x:c>
      <x:c r="J24" s="55" t="str">
        <x:v>2026-07-17</x:v>
      </x:c>
      <x:c r="K24" s="47" t="str">
        <x:v>结构验收</x:v>
      </x:c>
    </x:row>
    <x:row r="25">
      <x:c r="A25" s="45" t="str">
        <x:v>QA-021</x:v>
      </x:c>
      <x:c r="B25" s="46" t="str">
        <x:v>京作/明清边界</x:v>
      </x:c>
      <x:c r="C25" s="46" t="str">
        <x:v>页面</x:v>
      </x:c>
      <x:c r="D25" s="46" t="str">
        <x:v>事实边界</x:v>
      </x:c>
      <x:c r="E25" s="46" t="str">
        <x:v>不确定项和禁止表达可见</x:v>
      </x:c>
      <x:c r="F25" s="46" t="str">
        <x:v>页面结构/源码检查</x:v>
      </x:c>
      <x:c r="G25" s="58" t="str">
        <x:v>通过</x:v>
      </x:c>
      <x:c r="H25" s="46" t="str">
        <x:v>/jingzuo</x:v>
      </x:c>
      <x:c r="I25" s="46" t="str">
        <x:v>网站编辑+数据QA</x:v>
      </x:c>
      <x:c r="J25" s="55" t="str">
        <x:v>2026-07-17</x:v>
      </x:c>
      <x:c r="K25" s="47" t="str">
        <x:v>结构验收</x:v>
      </x:c>
    </x:row>
    <x:row r="26">
      <x:c r="A26" s="45" t="str">
        <x:v>QA-022</x:v>
      </x:c>
      <x:c r="B26" s="46" t="str">
        <x:v>京作/明清边界</x:v>
      </x:c>
      <x:c r="C26" s="46" t="str">
        <x:v>页面</x:v>
      </x:c>
      <x:c r="D26" s="46" t="str">
        <x:v>更新时间</x:v>
      </x:c>
      <x:c r="E26" s="46" t="str">
        <x:v>页面显示更新时间</x:v>
      </x:c>
      <x:c r="F26" s="46" t="str">
        <x:v>页面结构/源码检查</x:v>
      </x:c>
      <x:c r="G26" s="58" t="str">
        <x:v>通过</x:v>
      </x:c>
      <x:c r="H26" s="46" t="str">
        <x:v>/jingzuo</x:v>
      </x:c>
      <x:c r="I26" s="46" t="str">
        <x:v>网站编辑+数据QA</x:v>
      </x:c>
      <x:c r="J26" s="55" t="str">
        <x:v>2026-07-17</x:v>
      </x:c>
      <x:c r="K26" s="47" t="str">
        <x:v>结构验收</x:v>
      </x:c>
    </x:row>
    <x:row r="27">
      <x:c r="A27" s="45" t="str">
        <x:v>QA-023</x:v>
      </x:c>
      <x:c r="B27" s="46" t="str">
        <x:v>京作/明清边界</x:v>
      </x:c>
      <x:c r="C27" s="46" t="str">
        <x:v>页面</x:v>
      </x:c>
      <x:c r="D27" s="46" t="str">
        <x:v>内部链接</x:v>
      </x:c>
      <x:c r="E27" s="46" t="str">
        <x:v>至少2个相关页面</x:v>
      </x:c>
      <x:c r="F27" s="46" t="str">
        <x:v>页面结构/源码检查</x:v>
      </x:c>
      <x:c r="G27" s="58" t="str">
        <x:v>通过</x:v>
      </x:c>
      <x:c r="H27" s="46" t="str">
        <x:v>/jingzuo</x:v>
      </x:c>
      <x:c r="I27" s="46" t="str">
        <x:v>网站编辑+数据QA</x:v>
      </x:c>
      <x:c r="J27" s="55" t="str">
        <x:v>2026-07-17</x:v>
      </x:c>
      <x:c r="K27" s="47" t="str">
        <x:v>结构验收</x:v>
      </x:c>
    </x:row>
    <x:row r="28">
      <x:c r="A28" s="45" t="str">
        <x:v>QA-024</x:v>
      </x:c>
      <x:c r="B28" s="46" t="str">
        <x:v>京作/明清边界</x:v>
      </x:c>
      <x:c r="C28" s="46" t="str">
        <x:v>页面</x:v>
      </x:c>
      <x:c r="D28" s="46" t="str">
        <x:v>元数据</x:v>
      </x:c>
      <x:c r="E28" s="46" t="str">
        <x:v>title与description准确</x:v>
      </x:c>
      <x:c r="F28" s="46" t="str">
        <x:v>页面结构/源码检查</x:v>
      </x:c>
      <x:c r="G28" s="58" t="str">
        <x:v>通过</x:v>
      </x:c>
      <x:c r="H28" s="46" t="str">
        <x:v>/jingzuo</x:v>
      </x:c>
      <x:c r="I28" s="46" t="str">
        <x:v>网站编辑+数据QA</x:v>
      </x:c>
      <x:c r="J28" s="55" t="str">
        <x:v>2026-07-17</x:v>
      </x:c>
      <x:c r="K28" s="47" t="str">
        <x:v>结构验收</x:v>
      </x:c>
    </x:row>
    <x:row r="29">
      <x:c r="A29" s="45" t="str">
        <x:v>QA-025</x:v>
      </x:c>
      <x:c r="B29" s="46" t="str">
        <x:v>购买核验指南</x:v>
      </x:c>
      <x:c r="C29" s="46" t="str">
        <x:v>页面</x:v>
      </x:c>
      <x:c r="D29" s="46" t="str">
        <x:v>直接答案</x:v>
      </x:c>
      <x:c r="E29" s="46" t="str">
        <x:v>首屏先给结论</x:v>
      </x:c>
      <x:c r="F29" s="46" t="str">
        <x:v>页面结构/源码检查</x:v>
      </x:c>
      <x:c r="G29" s="58" t="str">
        <x:v>通过</x:v>
      </x:c>
      <x:c r="H29" s="46" t="str">
        <x:v>/buying-guide</x:v>
      </x:c>
      <x:c r="I29" s="46" t="str">
        <x:v>网站编辑+数据QA</x:v>
      </x:c>
      <x:c r="J29" s="55" t="str">
        <x:v>2026-07-17</x:v>
      </x:c>
      <x:c r="K29" s="47" t="str">
        <x:v>结构验收</x:v>
      </x:c>
    </x:row>
    <x:row r="30">
      <x:c r="A30" s="45" t="str">
        <x:v>QA-026</x:v>
      </x:c>
      <x:c r="B30" s="46" t="str">
        <x:v>购买核验指南</x:v>
      </x:c>
      <x:c r="C30" s="46" t="str">
        <x:v>页面</x:v>
      </x:c>
      <x:c r="D30" s="46" t="str">
        <x:v>来源</x:v>
      </x:c>
      <x:c r="E30" s="46" t="str">
        <x:v>有具体source_id/URL或明确待补</x:v>
      </x:c>
      <x:c r="F30" s="46" t="str">
        <x:v>页面结构/源码检查</x:v>
      </x:c>
      <x:c r="G30" s="58" t="str">
        <x:v>通过</x:v>
      </x:c>
      <x:c r="H30" s="46" t="str">
        <x:v>/buying-guide</x:v>
      </x:c>
      <x:c r="I30" s="46" t="str">
        <x:v>网站编辑+数据QA</x:v>
      </x:c>
      <x:c r="J30" s="55" t="str">
        <x:v>2026-07-17</x:v>
      </x:c>
      <x:c r="K30" s="47" t="str">
        <x:v>结构验收</x:v>
      </x:c>
    </x:row>
    <x:row r="31">
      <x:c r="A31" s="45" t="str">
        <x:v>QA-027</x:v>
      </x:c>
      <x:c r="B31" s="46" t="str">
        <x:v>购买核验指南</x:v>
      </x:c>
      <x:c r="C31" s="46" t="str">
        <x:v>页面</x:v>
      </x:c>
      <x:c r="D31" s="46" t="str">
        <x:v>事实边界</x:v>
      </x:c>
      <x:c r="E31" s="46" t="str">
        <x:v>不确定项和禁止表达可见</x:v>
      </x:c>
      <x:c r="F31" s="46" t="str">
        <x:v>页面结构/源码检查</x:v>
      </x:c>
      <x:c r="G31" s="58" t="str">
        <x:v>通过</x:v>
      </x:c>
      <x:c r="H31" s="46" t="str">
        <x:v>/buying-guide</x:v>
      </x:c>
      <x:c r="I31" s="46" t="str">
        <x:v>网站编辑+数据QA</x:v>
      </x:c>
      <x:c r="J31" s="55" t="str">
        <x:v>2026-07-17</x:v>
      </x:c>
      <x:c r="K31" s="47" t="str">
        <x:v>结构验收</x:v>
      </x:c>
    </x:row>
    <x:row r="32">
      <x:c r="A32" s="45" t="str">
        <x:v>QA-028</x:v>
      </x:c>
      <x:c r="B32" s="46" t="str">
        <x:v>购买核验指南</x:v>
      </x:c>
      <x:c r="C32" s="46" t="str">
        <x:v>页面</x:v>
      </x:c>
      <x:c r="D32" s="46" t="str">
        <x:v>更新时间</x:v>
      </x:c>
      <x:c r="E32" s="46" t="str">
        <x:v>页面显示更新时间</x:v>
      </x:c>
      <x:c r="F32" s="46" t="str">
        <x:v>页面结构/源码检查</x:v>
      </x:c>
      <x:c r="G32" s="58" t="str">
        <x:v>通过</x:v>
      </x:c>
      <x:c r="H32" s="46" t="str">
        <x:v>/buying-guide</x:v>
      </x:c>
      <x:c r="I32" s="46" t="str">
        <x:v>网站编辑+数据QA</x:v>
      </x:c>
      <x:c r="J32" s="55" t="str">
        <x:v>2026-07-17</x:v>
      </x:c>
      <x:c r="K32" s="47" t="str">
        <x:v>结构验收</x:v>
      </x:c>
    </x:row>
    <x:row r="33">
      <x:c r="A33" s="45" t="str">
        <x:v>QA-029</x:v>
      </x:c>
      <x:c r="B33" s="46" t="str">
        <x:v>购买核验指南</x:v>
      </x:c>
      <x:c r="C33" s="46" t="str">
        <x:v>页面</x:v>
      </x:c>
      <x:c r="D33" s="46" t="str">
        <x:v>内部链接</x:v>
      </x:c>
      <x:c r="E33" s="46" t="str">
        <x:v>至少2个相关页面</x:v>
      </x:c>
      <x:c r="F33" s="46" t="str">
        <x:v>页面结构/源码检查</x:v>
      </x:c>
      <x:c r="G33" s="58" t="str">
        <x:v>通过</x:v>
      </x:c>
      <x:c r="H33" s="46" t="str">
        <x:v>/buying-guide</x:v>
      </x:c>
      <x:c r="I33" s="46" t="str">
        <x:v>网站编辑+数据QA</x:v>
      </x:c>
      <x:c r="J33" s="55" t="str">
        <x:v>2026-07-17</x:v>
      </x:c>
      <x:c r="K33" s="47" t="str">
        <x:v>结构验收</x:v>
      </x:c>
    </x:row>
    <x:row r="34">
      <x:c r="A34" s="45" t="str">
        <x:v>QA-030</x:v>
      </x:c>
      <x:c r="B34" s="46" t="str">
        <x:v>购买核验指南</x:v>
      </x:c>
      <x:c r="C34" s="46" t="str">
        <x:v>页面</x:v>
      </x:c>
      <x:c r="D34" s="46" t="str">
        <x:v>元数据</x:v>
      </x:c>
      <x:c r="E34" s="46" t="str">
        <x:v>title与description准确</x:v>
      </x:c>
      <x:c r="F34" s="46" t="str">
        <x:v>页面结构/源码检查</x:v>
      </x:c>
      <x:c r="G34" s="58" t="str">
        <x:v>通过</x:v>
      </x:c>
      <x:c r="H34" s="46" t="str">
        <x:v>/buying-guide</x:v>
      </x:c>
      <x:c r="I34" s="46" t="str">
        <x:v>网站编辑+数据QA</x:v>
      </x:c>
      <x:c r="J34" s="55" t="str">
        <x:v>2026-07-17</x:v>
      </x:c>
      <x:c r="K34" s="47" t="str">
        <x:v>结构验收</x:v>
      </x:c>
    </x:row>
    <x:row r="35">
      <x:c r="A35" s="45" t="str">
        <x:v>QA-031</x:v>
      </x:c>
      <x:c r="B35" s="46" t="str">
        <x:v>15条FAQ</x:v>
      </x:c>
      <x:c r="C35" s="46" t="str">
        <x:v>FAQ</x:v>
      </x:c>
      <x:c r="D35" s="46" t="str">
        <x:v>直接答案</x:v>
      </x:c>
      <x:c r="E35" s="46" t="str">
        <x:v>首屏先给结论</x:v>
      </x:c>
      <x:c r="F35" s="46" t="str">
        <x:v>页面结构/源码检查</x:v>
      </x:c>
      <x:c r="G35" s="58" t="str">
        <x:v>通过</x:v>
      </x:c>
      <x:c r="H35" s="46" t="str">
        <x:v>/faq</x:v>
      </x:c>
      <x:c r="I35" s="46" t="str">
        <x:v>网站编辑+数据QA</x:v>
      </x:c>
      <x:c r="J35" s="55" t="str">
        <x:v>2026-07-17</x:v>
      </x:c>
      <x:c r="K35" s="47" t="str">
        <x:v>结构验收</x:v>
      </x:c>
    </x:row>
    <x:row r="36">
      <x:c r="A36" s="45" t="str">
        <x:v>QA-032</x:v>
      </x:c>
      <x:c r="B36" s="46" t="str">
        <x:v>15条FAQ</x:v>
      </x:c>
      <x:c r="C36" s="46" t="str">
        <x:v>FAQ</x:v>
      </x:c>
      <x:c r="D36" s="46" t="str">
        <x:v>来源</x:v>
      </x:c>
      <x:c r="E36" s="46" t="str">
        <x:v>有具体source_id/URL或明确待补</x:v>
      </x:c>
      <x:c r="F36" s="46" t="str">
        <x:v>页面结构/源码检查</x:v>
      </x:c>
      <x:c r="G36" s="58" t="str">
        <x:v>通过</x:v>
      </x:c>
      <x:c r="H36" s="46" t="str">
        <x:v>/faq</x:v>
      </x:c>
      <x:c r="I36" s="46" t="str">
        <x:v>网站编辑+数据QA</x:v>
      </x:c>
      <x:c r="J36" s="55" t="str">
        <x:v>2026-07-17</x:v>
      </x:c>
      <x:c r="K36" s="47" t="str">
        <x:v>结构验收</x:v>
      </x:c>
    </x:row>
    <x:row r="37">
      <x:c r="A37" s="45" t="str">
        <x:v>QA-033</x:v>
      </x:c>
      <x:c r="B37" s="46" t="str">
        <x:v>15条FAQ</x:v>
      </x:c>
      <x:c r="C37" s="46" t="str">
        <x:v>FAQ</x:v>
      </x:c>
      <x:c r="D37" s="46" t="str">
        <x:v>事实边界</x:v>
      </x:c>
      <x:c r="E37" s="46" t="str">
        <x:v>不确定项和禁止表达可见</x:v>
      </x:c>
      <x:c r="F37" s="46" t="str">
        <x:v>页面结构/源码检查</x:v>
      </x:c>
      <x:c r="G37" s="58" t="str">
        <x:v>通过</x:v>
      </x:c>
      <x:c r="H37" s="46" t="str">
        <x:v>/faq</x:v>
      </x:c>
      <x:c r="I37" s="46" t="str">
        <x:v>网站编辑+数据QA</x:v>
      </x:c>
      <x:c r="J37" s="55" t="str">
        <x:v>2026-07-17</x:v>
      </x:c>
      <x:c r="K37" s="47" t="str">
        <x:v>结构验收</x:v>
      </x:c>
    </x:row>
    <x:row r="38">
      <x:c r="A38" s="45" t="str">
        <x:v>QA-034</x:v>
      </x:c>
      <x:c r="B38" s="46" t="str">
        <x:v>15条FAQ</x:v>
      </x:c>
      <x:c r="C38" s="46" t="str">
        <x:v>FAQ</x:v>
      </x:c>
      <x:c r="D38" s="46" t="str">
        <x:v>更新时间</x:v>
      </x:c>
      <x:c r="E38" s="46" t="str">
        <x:v>页面显示更新时间</x:v>
      </x:c>
      <x:c r="F38" s="46" t="str">
        <x:v>页面结构/源码检查</x:v>
      </x:c>
      <x:c r="G38" s="58" t="str">
        <x:v>通过</x:v>
      </x:c>
      <x:c r="H38" s="46" t="str">
        <x:v>/faq</x:v>
      </x:c>
      <x:c r="I38" s="46" t="str">
        <x:v>网站编辑+数据QA</x:v>
      </x:c>
      <x:c r="J38" s="55" t="str">
        <x:v>2026-07-17</x:v>
      </x:c>
      <x:c r="K38" s="47" t="str">
        <x:v>结构验收</x:v>
      </x:c>
    </x:row>
    <x:row r="39">
      <x:c r="A39" s="45" t="str">
        <x:v>QA-035</x:v>
      </x:c>
      <x:c r="B39" s="46" t="str">
        <x:v>15条FAQ</x:v>
      </x:c>
      <x:c r="C39" s="46" t="str">
        <x:v>FAQ</x:v>
      </x:c>
      <x:c r="D39" s="46" t="str">
        <x:v>内部链接</x:v>
      </x:c>
      <x:c r="E39" s="46" t="str">
        <x:v>至少2个相关页面</x:v>
      </x:c>
      <x:c r="F39" s="46" t="str">
        <x:v>页面结构/源码检查</x:v>
      </x:c>
      <x:c r="G39" s="58" t="str">
        <x:v>通过</x:v>
      </x:c>
      <x:c r="H39" s="46" t="str">
        <x:v>/faq</x:v>
      </x:c>
      <x:c r="I39" s="46" t="str">
        <x:v>网站编辑+数据QA</x:v>
      </x:c>
      <x:c r="J39" s="55" t="str">
        <x:v>2026-07-17</x:v>
      </x:c>
      <x:c r="K39" s="47" t="str">
        <x:v>结构验收</x:v>
      </x:c>
    </x:row>
    <x:row r="40">
      <x:c r="A40" s="45" t="str">
        <x:v>QA-036</x:v>
      </x:c>
      <x:c r="B40" s="46" t="str">
        <x:v>15条FAQ</x:v>
      </x:c>
      <x:c r="C40" s="46" t="str">
        <x:v>FAQ</x:v>
      </x:c>
      <x:c r="D40" s="46" t="str">
        <x:v>元数据</x:v>
      </x:c>
      <x:c r="E40" s="46" t="str">
        <x:v>title与description准确</x:v>
      </x:c>
      <x:c r="F40" s="46" t="str">
        <x:v>页面结构/源码检查</x:v>
      </x:c>
      <x:c r="G40" s="58" t="str">
        <x:v>通过</x:v>
      </x:c>
      <x:c r="H40" s="46" t="str">
        <x:v>/faq</x:v>
      </x:c>
      <x:c r="I40" s="46" t="str">
        <x:v>网站编辑+数据QA</x:v>
      </x:c>
      <x:c r="J40" s="55" t="str">
        <x:v>2026-07-17</x:v>
      </x:c>
      <x:c r="K40" s="47" t="str">
        <x:v>结构验收</x:v>
      </x:c>
    </x:row>
    <x:row r="41">
      <x:c r="A41" s="45" t="str">
        <x:v>QA-037</x:v>
      </x:c>
      <x:c r="B41" s="46" t="str">
        <x:v>品牌内容优化方案</x:v>
      </x:c>
      <x:c r="C41" s="46" t="str">
        <x:v>策略</x:v>
      </x:c>
      <x:c r="D41" s="46" t="str">
        <x:v>直接答案</x:v>
      </x:c>
      <x:c r="E41" s="46" t="str">
        <x:v>首屏先给结论</x:v>
      </x:c>
      <x:c r="F41" s="46" t="str">
        <x:v>页面结构/源码检查</x:v>
      </x:c>
      <x:c r="G41" s="58" t="str">
        <x:v>通过</x:v>
      </x:c>
      <x:c r="H41" s="46" t="str">
        <x:v>/strategy</x:v>
      </x:c>
      <x:c r="I41" s="46" t="str">
        <x:v>网站编辑+数据QA</x:v>
      </x:c>
      <x:c r="J41" s="55" t="str">
        <x:v>2026-07-17</x:v>
      </x:c>
      <x:c r="K41" s="47" t="str">
        <x:v>结构验收</x:v>
      </x:c>
    </x:row>
    <x:row r="42">
      <x:c r="A42" s="45" t="str">
        <x:v>QA-038</x:v>
      </x:c>
      <x:c r="B42" s="46" t="str">
        <x:v>品牌内容优化方案</x:v>
      </x:c>
      <x:c r="C42" s="46" t="str">
        <x:v>策略</x:v>
      </x:c>
      <x:c r="D42" s="46" t="str">
        <x:v>来源</x:v>
      </x:c>
      <x:c r="E42" s="46" t="str">
        <x:v>有具体source_id/URL或明确待补</x:v>
      </x:c>
      <x:c r="F42" s="46" t="str">
        <x:v>页面结构/源码检查</x:v>
      </x:c>
      <x:c r="G42" s="58" t="str">
        <x:v>通过</x:v>
      </x:c>
      <x:c r="H42" s="46" t="str">
        <x:v>/strategy</x:v>
      </x:c>
      <x:c r="I42" s="46" t="str">
        <x:v>网站编辑+数据QA</x:v>
      </x:c>
      <x:c r="J42" s="55" t="str">
        <x:v>2026-07-17</x:v>
      </x:c>
      <x:c r="K42" s="47" t="str">
        <x:v>结构验收</x:v>
      </x:c>
    </x:row>
    <x:row r="43">
      <x:c r="A43" s="45" t="str">
        <x:v>QA-039</x:v>
      </x:c>
      <x:c r="B43" s="46" t="str">
        <x:v>品牌内容优化方案</x:v>
      </x:c>
      <x:c r="C43" s="46" t="str">
        <x:v>策略</x:v>
      </x:c>
      <x:c r="D43" s="46" t="str">
        <x:v>事实边界</x:v>
      </x:c>
      <x:c r="E43" s="46" t="str">
        <x:v>不确定项和禁止表达可见</x:v>
      </x:c>
      <x:c r="F43" s="46" t="str">
        <x:v>页面结构/源码检查</x:v>
      </x:c>
      <x:c r="G43" s="58" t="str">
        <x:v>通过</x:v>
      </x:c>
      <x:c r="H43" s="46" t="str">
        <x:v>/strategy</x:v>
      </x:c>
      <x:c r="I43" s="46" t="str">
        <x:v>网站编辑+数据QA</x:v>
      </x:c>
      <x:c r="J43" s="55" t="str">
        <x:v>2026-07-17</x:v>
      </x:c>
      <x:c r="K43" s="47" t="str">
        <x:v>结构验收</x:v>
      </x:c>
    </x:row>
    <x:row r="44">
      <x:c r="A44" s="45" t="str">
        <x:v>QA-040</x:v>
      </x:c>
      <x:c r="B44" s="46" t="str">
        <x:v>品牌内容优化方案</x:v>
      </x:c>
      <x:c r="C44" s="46" t="str">
        <x:v>策略</x:v>
      </x:c>
      <x:c r="D44" s="46" t="str">
        <x:v>更新时间</x:v>
      </x:c>
      <x:c r="E44" s="46" t="str">
        <x:v>页面显示更新时间</x:v>
      </x:c>
      <x:c r="F44" s="46" t="str">
        <x:v>页面结构/源码检查</x:v>
      </x:c>
      <x:c r="G44" s="58" t="str">
        <x:v>通过</x:v>
      </x:c>
      <x:c r="H44" s="46" t="str">
        <x:v>/strategy</x:v>
      </x:c>
      <x:c r="I44" s="46" t="str">
        <x:v>网站编辑+数据QA</x:v>
      </x:c>
      <x:c r="J44" s="55" t="str">
        <x:v>2026-07-17</x:v>
      </x:c>
      <x:c r="K44" s="47" t="str">
        <x:v>结构验收</x:v>
      </x:c>
    </x:row>
    <x:row r="45">
      <x:c r="A45" s="45" t="str">
        <x:v>QA-041</x:v>
      </x:c>
      <x:c r="B45" s="46" t="str">
        <x:v>品牌内容优化方案</x:v>
      </x:c>
      <x:c r="C45" s="46" t="str">
        <x:v>策略</x:v>
      </x:c>
      <x:c r="D45" s="46" t="str">
        <x:v>内部链接</x:v>
      </x:c>
      <x:c r="E45" s="46" t="str">
        <x:v>至少2个相关页面</x:v>
      </x:c>
      <x:c r="F45" s="46" t="str">
        <x:v>页面结构/源码检查</x:v>
      </x:c>
      <x:c r="G45" s="58" t="str">
        <x:v>通过</x:v>
      </x:c>
      <x:c r="H45" s="46" t="str">
        <x:v>/strategy</x:v>
      </x:c>
      <x:c r="I45" s="46" t="str">
        <x:v>网站编辑+数据QA</x:v>
      </x:c>
      <x:c r="J45" s="55" t="str">
        <x:v>2026-07-17</x:v>
      </x:c>
      <x:c r="K45" s="47" t="str">
        <x:v>结构验收</x:v>
      </x:c>
    </x:row>
    <x:row r="46">
      <x:c r="A46" s="45" t="str">
        <x:v>QA-042</x:v>
      </x:c>
      <x:c r="B46" s="46" t="str">
        <x:v>品牌内容优化方案</x:v>
      </x:c>
      <x:c r="C46" s="46" t="str">
        <x:v>策略</x:v>
      </x:c>
      <x:c r="D46" s="46" t="str">
        <x:v>元数据</x:v>
      </x:c>
      <x:c r="E46" s="46" t="str">
        <x:v>title与description准确</x:v>
      </x:c>
      <x:c r="F46" s="46" t="str">
        <x:v>页面结构/源码检查</x:v>
      </x:c>
      <x:c r="G46" s="58" t="str">
        <x:v>通过</x:v>
      </x:c>
      <x:c r="H46" s="46" t="str">
        <x:v>/strategy</x:v>
      </x:c>
      <x:c r="I46" s="46" t="str">
        <x:v>网站编辑+数据QA</x:v>
      </x:c>
      <x:c r="J46" s="55" t="str">
        <x:v>2026-07-17</x:v>
      </x:c>
      <x:c r="K46" s="47" t="str">
        <x:v>结构验收</x:v>
      </x:c>
    </x:row>
    <x:row r="47">
      <x:c r="A47" s="45" t="str">
        <x:v>QA-043</x:v>
      </x:c>
      <x:c r="B47" s="46" t="str">
        <x:v>站点全局</x:v>
      </x:c>
      <x:c r="C47" s="46" t="str">
        <x:v>技术</x:v>
      </x:c>
      <x:c r="D47" s="46" t="str">
        <x:v>无需登录</x:v>
      </x:c>
      <x:c r="E47" s="46" t="str">
        <x:v>公开链接可直接访问</x:v>
      </x:c>
      <x:c r="F47" s="46" t="str">
        <x:v>浏览器/部署检查</x:v>
      </x:c>
      <x:c r="G47" s="58" t="str">
        <x:v>通过</x:v>
      </x:c>
      <x:c r="H47" s="46" t="str">
        <x:v>/</x:v>
      </x:c>
      <x:c r="I47" s="46" t="str">
        <x:v>网站编辑+数据QA</x:v>
      </x:c>
      <x:c r="J47" s="55" t="str">
        <x:v>2026-07-17</x:v>
      </x:c>
      <x:c r="K47" s="47" t="str">
        <x:v>部署后复核</x:v>
      </x:c>
    </x:row>
    <x:row r="48">
      <x:c r="A48" s="45" t="str">
        <x:v>QA-044</x:v>
      </x:c>
      <x:c r="B48" s="46" t="str">
        <x:v>站点全局</x:v>
      </x:c>
      <x:c r="C48" s="46" t="str">
        <x:v>技术</x:v>
      </x:c>
      <x:c r="D48" s="46" t="str">
        <x:v>响应式</x:v>
      </x:c>
      <x:c r="E48" s="46" t="str">
        <x:v>电脑和手机端可读</x:v>
      </x:c>
      <x:c r="F48" s="46" t="str">
        <x:v>响应式布局检查</x:v>
      </x:c>
      <x:c r="G48" s="58" t="str">
        <x:v>通过</x:v>
      </x:c>
      <x:c r="H48" s="46" t="str">
        <x:v>/</x:v>
      </x:c>
      <x:c r="I48" s="46" t="str">
        <x:v>网站编辑+数据QA</x:v>
      </x:c>
      <x:c r="J48" s="55" t="str">
        <x:v>2026-07-17</x:v>
      </x:c>
      <x:c r="K48" s="47" t="str">
        <x:v>不溢出</x:v>
      </x:c>
    </x:row>
    <x:row r="49">
      <x:c r="A49" s="45" t="str">
        <x:v>QA-045</x:v>
      </x:c>
      <x:c r="B49" s="46" t="str">
        <x:v>站点全局</x:v>
      </x:c>
      <x:c r="C49" s="46" t="str">
        <x:v>技术</x:v>
      </x:c>
      <x:c r="D49" s="46" t="str">
        <x:v>robots</x:v>
      </x:c>
      <x:c r="E49" s="46" t="str">
        <x:v>允许基础抓取并指向sitemap</x:v>
      </x:c>
      <x:c r="F49" s="46" t="str">
        <x:v>文件检查</x:v>
      </x:c>
      <x:c r="G49" s="58" t="str">
        <x:v>通过</x:v>
      </x:c>
      <x:c r="H49" s="46" t="str">
        <x:v>/robots.txt</x:v>
      </x:c>
      <x:c r="I49" s="46" t="str">
        <x:v>网站编辑</x:v>
      </x:c>
      <x:c r="J49" s="55" t="str">
        <x:v>2026-07-17</x:v>
      </x:c>
      <x:c r="K49" s="47" t="str"/>
    </x:row>
    <x:row r="50">
      <x:c r="A50" s="45" t="str">
        <x:v>QA-046</x:v>
      </x:c>
      <x:c r="B50" s="46" t="str">
        <x:v>站点全局</x:v>
      </x:c>
      <x:c r="C50" s="46" t="str">
        <x:v>技术</x:v>
      </x:c>
      <x:c r="D50" s="46" t="str">
        <x:v>sitemap</x:v>
      </x:c>
      <x:c r="E50" s="46" t="str">
        <x:v>包含策略页和核心内容页</x:v>
      </x:c>
      <x:c r="F50" s="46" t="str">
        <x:v>文件检查</x:v>
      </x:c>
      <x:c r="G50" s="58" t="str">
        <x:v>通过</x:v>
      </x:c>
      <x:c r="H50" s="46" t="str">
        <x:v>/sitemap.xml</x:v>
      </x:c>
      <x:c r="I50" s="46" t="str">
        <x:v>网站编辑</x:v>
      </x:c>
      <x:c r="J50" s="55" t="str">
        <x:v>2026-07-17</x:v>
      </x:c>
      <x:c r="K50" s="47" t="str"/>
    </x:row>
    <x:row r="51">
      <x:c r="A51" s="45" t="str">
        <x:v>QA-047</x:v>
      </x:c>
      <x:c r="B51" s="46" t="str">
        <x:v>站点全局</x:v>
      </x:c>
      <x:c r="C51" s="46" t="str">
        <x:v>交付</x:v>
      </x:c>
      <x:c r="D51" s="46" t="str">
        <x:v>下载入口</x:v>
      </x:c>
      <x:c r="E51" s="46" t="str">
        <x:v>DOCX/PDF/XLSX均可下载</x:v>
      </x:c>
      <x:c r="F51" s="46" t="str">
        <x:v>链接检查</x:v>
      </x:c>
      <x:c r="G51" s="58" t="str">
        <x:v>通过</x:v>
      </x:c>
      <x:c r="H51" s="46" t="str">
        <x:v>/strategy</x:v>
      </x:c>
      <x:c r="I51" s="46" t="str">
        <x:v>网站编辑+数据QA</x:v>
      </x:c>
      <x:c r="J51" s="55" t="str">
        <x:v>2026-07-17</x:v>
      </x:c>
      <x:c r="K51" s="47" t="str"/>
    </x:row>
    <x:row r="52">
      <x:c r="A52" s="48" t="str">
        <x:v>QA-048</x:v>
      </x:c>
      <x:c r="B52" s="49" t="str">
        <x:v>站点全局</x:v>
      </x:c>
      <x:c r="C52" s="49" t="str">
        <x:v>声明</x:v>
      </x:c>
      <x:c r="D52" s="49" t="str">
        <x:v>研究边界</x:v>
      </x:c>
      <x:c r="E52" s="49" t="str">
        <x:v>不代表官方、不声称效果提升</x:v>
      </x:c>
      <x:c r="F52" s="49" t="str">
        <x:v>文案检查</x:v>
      </x:c>
      <x:c r="G52" s="59" t="str">
        <x:v>通过</x:v>
      </x:c>
      <x:c r="H52" s="49" t="str">
        <x:v>/strategy</x:v>
      </x:c>
      <x:c r="I52" s="49" t="str">
        <x:v>内容策略+数据QA</x:v>
      </x:c>
      <x:c r="J52" s="56" t="str">
        <x:v>2026-07-17</x:v>
      </x:c>
      <x:c r="K52" s="50" t="str"/>
    </x:row>
    <x:row r="53">
      <x:c r="J53" s="60"/>
    </x:row>
    <x:row r="54">
      <x:c r="J54" s="60"/>
    </x:row>
    <x:row r="55">
      <x:c r="J55" s="60"/>
    </x:row>
    <x:row r="56">
      <x:c r="J56" s="60"/>
    </x:row>
    <x:row r="57">
      <x:c r="J57" s="60"/>
    </x:row>
    <x:row r="58">
      <x:c r="J58" s="60"/>
    </x:row>
    <x:row r="59">
      <x:c r="J59" s="60"/>
    </x:row>
    <x:row r="60">
      <x:c r="J60" s="60"/>
    </x:row>
    <x:row r="61">
      <x:c r="J61" s="60"/>
    </x:row>
    <x:row r="62">
      <x:c r="J62" s="60"/>
    </x:row>
    <x:row r="63">
      <x:c r="J63" s="60"/>
    </x:row>
    <x:row r="64">
      <x:c r="J64" s="60"/>
    </x:row>
    <x:row r="65">
      <x:c r="J65" s="60"/>
    </x:row>
    <x:row r="66">
      <x:c r="J66" s="60"/>
    </x:row>
    <x:row r="67">
      <x:c r="J67" s="60"/>
    </x:row>
    <x:row r="68">
      <x:c r="J68" s="60"/>
    </x:row>
    <x:row r="69">
      <x:c r="J69" s="60"/>
    </x:row>
    <x:row r="70">
      <x:c r="J70" s="60"/>
    </x:row>
    <x:row r="71">
      <x:c r="J71" s="60"/>
    </x:row>
    <x:row r="72">
      <x:c r="J72" s="60"/>
    </x:row>
    <x:row r="73">
      <x:c r="J73" s="60"/>
    </x:row>
    <x:row r="74">
      <x:c r="J74" s="60"/>
    </x:row>
    <x:row r="75">
      <x:c r="J75" s="60"/>
    </x:row>
    <x:row r="76">
      <x:c r="J76" s="60"/>
    </x:row>
    <x:row r="77">
      <x:c r="J77" s="60"/>
    </x:row>
    <x:row r="78">
      <x:c r="J78" s="60"/>
    </x:row>
    <x:row r="79">
      <x:c r="J79" s="60"/>
    </x:row>
    <x:row r="80">
      <x:c r="J80" s="60"/>
    </x:row>
    <x:row r="81">
      <x:c r="J81" s="60"/>
    </x:row>
    <x:row r="82">
      <x:c r="J82" s="60"/>
    </x:row>
    <x:row r="83">
      <x:c r="J83" s="60"/>
    </x:row>
    <x:row r="84">
      <x:c r="J84" s="60"/>
    </x:row>
    <x:row r="85">
      <x:c r="J85" s="60"/>
    </x:row>
    <x:row r="86">
      <x:c r="J86" s="60"/>
    </x:row>
    <x:row r="87">
      <x:c r="J87" s="60"/>
    </x:row>
    <x:row r="88">
      <x:c r="J88" s="60"/>
    </x:row>
    <x:row r="89">
      <x:c r="J89" s="60"/>
    </x:row>
    <x:row r="90">
      <x:c r="J90" s="60"/>
    </x:row>
    <x:row r="91">
      <x:c r="J91" s="60"/>
    </x:row>
    <x:row r="92">
      <x:c r="J92" s="60"/>
    </x:row>
    <x:row r="93">
      <x:c r="J93" s="60"/>
    </x:row>
    <x:row r="94">
      <x:c r="J94" s="60"/>
    </x:row>
    <x:row r="95">
      <x:c r="J95" s="60"/>
    </x:row>
    <x:row r="96">
      <x:c r="J96" s="60"/>
    </x:row>
    <x:row r="97">
      <x:c r="J97" s="60"/>
    </x:row>
    <x:row r="98">
      <x:c r="J98" s="60"/>
    </x:row>
    <x:row r="99">
      <x:c r="J99" s="60"/>
    </x:row>
    <x:row r="100">
      <x:c r="J100" s="60"/>
    </x:row>
  </x:sheetData>
  <x:mergeCells>
    <x:mergeCell ref="A1:K1"/>
    <x:mergeCell ref="A2:K2"/>
  </x:mergeCells>
  <x:conditionalFormatting sqref="G5:G52">
    <x:cfRule type="containsText" dxfId="10" priority="1" operator="containsText" text="通过"/>
    <x:cfRule type="containsText" dxfId="11" priority="2" operator="containsText" text="待"/>
    <x:cfRule type="containsText" dxfId="12" priority="3" operator="containsText" text="不通过"/>
  </x:conditionalFormatting>
  <x:dataValidations count="1">
    <x:dataValidation type="list" sqref="G5:G52">
      <x:formula1>"通过,待复核,不通过,不适用"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357a8da1c24c3f"/>
  </x:tableParts>
</x:worksheet>
</file>